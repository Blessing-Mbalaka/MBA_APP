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jac-my.sharepoint.com/personal/ralebitsol_uj_ac_za/Documents/Desktop/CAPSTONE Work/Approved Assesors/"/>
    </mc:Choice>
  </mc:AlternateContent>
  <bookViews>
    <workbookView xWindow="-110" yWindow="-110" windowWidth="19420" windowHeight="10300" xr2:uid="{2B772670-5DE4-4356-B299-92274CC4E84F}"/>
  </bookViews>
  <sheets>
    <sheet name="Local" sheetId="1" r:id="rId1"/>
  </sheets>
  <definedNames>
    <definedName name="_Hlk202883886" localSheetId="0">Local!#REF!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4" i="1"/>
  <c r="BE123" i="1"/>
  <c r="BE4" i="1"/>
  <c r="BE102" i="1"/>
  <c r="BE5" i="1"/>
  <c r="BE6" i="1"/>
  <c r="BE7" i="1"/>
  <c r="BE8" i="1"/>
  <c r="BE103" i="1"/>
  <c r="BE104" i="1"/>
  <c r="BE9" i="1"/>
  <c r="BE10" i="1"/>
  <c r="BE124" i="1"/>
  <c r="BE11" i="1"/>
  <c r="BE12" i="1"/>
  <c r="BE105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106" i="1"/>
  <c r="BE30" i="1"/>
  <c r="BE31" i="1"/>
  <c r="BE32" i="1"/>
  <c r="BE107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125" i="1"/>
  <c r="BE47" i="1"/>
  <c r="BE48" i="1"/>
  <c r="BE108" i="1"/>
  <c r="BE49" i="1"/>
  <c r="BE50" i="1"/>
  <c r="BE51" i="1"/>
  <c r="BE109" i="1"/>
  <c r="BE52" i="1"/>
  <c r="BE53" i="1"/>
  <c r="BE126" i="1"/>
  <c r="BE54" i="1"/>
  <c r="BE55" i="1"/>
  <c r="BE56" i="1"/>
  <c r="BE110" i="1"/>
  <c r="BE111" i="1"/>
  <c r="BE127" i="1"/>
  <c r="BE128" i="1"/>
  <c r="BE57" i="1"/>
  <c r="BE58" i="1"/>
  <c r="BE59" i="1"/>
  <c r="BE60" i="1"/>
  <c r="BE112" i="1"/>
  <c r="BE61" i="1"/>
  <c r="BE129" i="1"/>
  <c r="BE62" i="1"/>
  <c r="BE113" i="1"/>
  <c r="BE63" i="1"/>
  <c r="BE114" i="1"/>
  <c r="BE64" i="1"/>
  <c r="BE65" i="1"/>
  <c r="BE130" i="1"/>
  <c r="BE115" i="1"/>
  <c r="BE66" i="1"/>
  <c r="BE67" i="1"/>
  <c r="BE68" i="1"/>
  <c r="BE69" i="1"/>
  <c r="BE70" i="1"/>
  <c r="BE71" i="1"/>
  <c r="BE72" i="1"/>
  <c r="BE73" i="1"/>
  <c r="BE74" i="1"/>
  <c r="BE75" i="1"/>
  <c r="BE116" i="1"/>
  <c r="BE76" i="1"/>
  <c r="BE117" i="1"/>
  <c r="BE77" i="1"/>
  <c r="BE78" i="1"/>
  <c r="BE79" i="1"/>
  <c r="BE80" i="1"/>
  <c r="BE81" i="1"/>
  <c r="BE131" i="1"/>
  <c r="BE82" i="1"/>
  <c r="BE132" i="1"/>
  <c r="BE83" i="1"/>
  <c r="BE84" i="1"/>
  <c r="BE133" i="1"/>
  <c r="BE118" i="1"/>
  <c r="BE85" i="1"/>
  <c r="BE86" i="1"/>
  <c r="BE87" i="1"/>
  <c r="BE88" i="1"/>
  <c r="BE89" i="1"/>
  <c r="BE90" i="1"/>
  <c r="BE91" i="1"/>
  <c r="BE92" i="1"/>
  <c r="BE93" i="1"/>
  <c r="BE119" i="1"/>
  <c r="BE94" i="1"/>
  <c r="BE95" i="1"/>
  <c r="BE96" i="1"/>
  <c r="BE97" i="1"/>
  <c r="BE98" i="1"/>
  <c r="BE99" i="1"/>
  <c r="BE120" i="1"/>
  <c r="BE100" i="1"/>
  <c r="BE101" i="1"/>
  <c r="BE121" i="1"/>
  <c r="BE122" i="1"/>
</calcChain>
</file>

<file path=xl/sharedStrings.xml><?xml version="1.0" encoding="utf-8"?>
<sst xmlns="http://schemas.openxmlformats.org/spreadsheetml/2006/main" count="1365" uniqueCount="638">
  <si>
    <t>Title, names &amp; Surname</t>
  </si>
  <si>
    <t>Institution</t>
  </si>
  <si>
    <t>Research interest areas</t>
  </si>
  <si>
    <t>Management College of Southern Africa</t>
  </si>
  <si>
    <t>Nonte.tshivhase@gmail.com/ nonte.tshivhase@mancosa.co.za</t>
  </si>
  <si>
    <t>Digital Transformation, Project Management, Leadership, General Management, Small Business &amp; Entrepreneurship, Operations Management, Finance and FinTech, Change Management, Organisational Development</t>
  </si>
  <si>
    <t xml:space="preserve">Dr. Tovhowani Nedohe </t>
  </si>
  <si>
    <t>tnedohe@uj.ac.za</t>
  </si>
  <si>
    <t>Project Management, Leadership, Organizational Development, Operations Management, General Management</t>
  </si>
  <si>
    <t>email address</t>
  </si>
  <si>
    <t>Contact number</t>
  </si>
  <si>
    <t xml:space="preserve">082 603 0876; 031 300 7314 </t>
  </si>
  <si>
    <t>Education, Organization behavior, Education and training, Human resource management, Leadership</t>
  </si>
  <si>
    <t>072 754 2131</t>
  </si>
  <si>
    <t>madikidapakama@gmail.com</t>
  </si>
  <si>
    <t>UNISA</t>
  </si>
  <si>
    <t>Post-gradudate supervision</t>
  </si>
  <si>
    <t>Publications</t>
  </si>
  <si>
    <t>Dr. Sean Perry</t>
  </si>
  <si>
    <t>076 833 8690</t>
  </si>
  <si>
    <t>goitseperry@gmail.com</t>
  </si>
  <si>
    <t>AvN Foundation</t>
  </si>
  <si>
    <t>043 704 7533 or 078 789 9080</t>
  </si>
  <si>
    <t>sfobosi@ufh.ac.za  </t>
  </si>
  <si>
    <t>University of Fort Hare</t>
  </si>
  <si>
    <t>Development studies, Digital technology, Sustainability</t>
  </si>
  <si>
    <t>Chemical engineering, Technology</t>
  </si>
  <si>
    <t>anosc@dut.ac.za</t>
  </si>
  <si>
    <t>074 406 4807</t>
  </si>
  <si>
    <t>Durban University of Technology</t>
  </si>
  <si>
    <t>Human Resources Management, Organisational change, Leadership, Organisational Behaviour, Small Business and Entrepreneurship</t>
  </si>
  <si>
    <t>University of the Western Cape</t>
  </si>
  <si>
    <t>Education, Information and Communications Technology, Training and Development, Artificial Intelligence, Leadership</t>
  </si>
  <si>
    <t>tdhurumraj@uwc.ac.za</t>
  </si>
  <si>
    <t xml:space="preserve"> 0614132514 or 076 781 0533</t>
  </si>
  <si>
    <t>University of Western Cape</t>
  </si>
  <si>
    <t>+27 18 299 1348</t>
  </si>
  <si>
    <t>herbst.frikkie@nwu.ac.za</t>
  </si>
  <si>
    <t>Marketing Management, Digital Marketing, Consumer behaviour</t>
  </si>
  <si>
    <t>North West University</t>
  </si>
  <si>
    <t>General Management, Small Business and Entrepreneurship, Organisation Behaviour, Operation Management, Marketing Management, Change Management, Organisation Development, Artificial Interlligence, Digital Technology, BlockChain, E-commerce </t>
  </si>
  <si>
    <t>nematatani55@gmail.com</t>
  </si>
  <si>
    <t>Transnet Engineering (TE)</t>
  </si>
  <si>
    <t>0735123334</t>
  </si>
  <si>
    <t>sefeoluwabadaru@gmail.com or sefeoluwabadaru@outlook.com</t>
  </si>
  <si>
    <t>Regenesys Corporate Education</t>
  </si>
  <si>
    <t>Digital Marketing Strategies, Business Innovation and 4IR Technologies, Strategic Marketing Management, Customer Experience and Loyalty, 4IR in Emerging Markets</t>
  </si>
  <si>
    <t>Finance and FinTech, Digital transformation, Data Analytics, Small business and entrepreneurship, E-commerce</t>
  </si>
  <si>
    <t>knyakurukwa@gmail.com</t>
  </si>
  <si>
    <t>062 244 6130</t>
  </si>
  <si>
    <t>University of the Witwatersrand</t>
  </si>
  <si>
    <t>067-6832-735 or 079-060-6909</t>
  </si>
  <si>
    <t>Human Resources Management, Leadership, Organisational Behaviour, General Management, Change Management, Training &amp; Development</t>
  </si>
  <si>
    <t>Mancosa</t>
  </si>
  <si>
    <t>Machine Learning</t>
  </si>
  <si>
    <t>083 336 1328</t>
  </si>
  <si>
    <t>rhlongwa@gmail.com</t>
  </si>
  <si>
    <t>Vodacom</t>
  </si>
  <si>
    <t>Dr. Stephen Moyo</t>
  </si>
  <si>
    <t>‘074 430 1812 or ‘063 1512349</t>
  </si>
  <si>
    <t>stephen.moyo@yahoo.com OR drmoyos68@gmail.com</t>
  </si>
  <si>
    <t>Training and Development, Leadership, General Management, Organisational Behaviour, Change Management, Small Business &amp; Entrepreneurship, Operations Management, Communication, Organisational Development, Human Resources</t>
  </si>
  <si>
    <t>Tshwane University of Technology</t>
  </si>
  <si>
    <t>aderobaoa@tut.ac.za, olugbenga.aderoba@gmail.com</t>
  </si>
  <si>
    <t>0781745750</t>
  </si>
  <si>
    <t>Artificial Intelligence, Data Analytics, Digital Transformation, Blockchain, Supply Chain Management</t>
  </si>
  <si>
    <t>Dr. David Jakwe </t>
  </si>
  <si>
    <t>Project Management, Supply Chain Management, Operations Management, E-commerce, Small Business and Entrepreneurship</t>
  </si>
  <si>
    <t>djakwe@outlook.com</t>
  </si>
  <si>
    <t>078 438 6078</t>
  </si>
  <si>
    <t>Finance and Fintech, Small business and entrepreneurship, E-commerce, Organisational development, General management</t>
  </si>
  <si>
    <t>osumagodswill@gmail.com or gosuma@uj.ac.za</t>
  </si>
  <si>
    <t>University of Johannesburg</t>
  </si>
  <si>
    <t>julemba@gmail.com / jmba@uj.ac.za</t>
  </si>
  <si>
    <t>Artificial Intelligence, Data Analytics, Blockchain, Digital Transformation</t>
  </si>
  <si>
    <t>0780408366</t>
  </si>
  <si>
    <t>073 919 8499 or 011 559 2017</t>
  </si>
  <si>
    <t>0115592292</t>
  </si>
  <si>
    <t xml:space="preserve">lwazim@uj.ac.za </t>
  </si>
  <si>
    <t>ICT integration in education,Indigenous knowledge integration in education, Education for Sustainable Development in education</t>
  </si>
  <si>
    <t>Leadership,Small Business &amp; Entrepreneurship, Information Management Systems, Organisational Behaviour, Finance and FinTech, Information and Communications Technology, Change Management</t>
  </si>
  <si>
    <t>082-330-5771</t>
  </si>
  <si>
    <t>Alan Gray Makers</t>
  </si>
  <si>
    <t>stefan.brandt.sa@gmail.com</t>
  </si>
  <si>
    <t>E-Commerce, Supply Chain Management, General Management, Small Business &amp; Entrepreneurship, Marketing Management, Operations Management, Change Management, Information Management Systems</t>
  </si>
  <si>
    <t>078 328 9259</t>
  </si>
  <si>
    <t>tichbuzy@gmail.com</t>
  </si>
  <si>
    <t>Boston City Campus</t>
  </si>
  <si>
    <t>Dr. Mulaudzi Tshifhiwa</t>
  </si>
  <si>
    <t>(076) 771 5066</t>
  </si>
  <si>
    <t>Sefako Makgatho Health Sciences University</t>
  </si>
  <si>
    <t>Education, Leadership, Small Business and Entrepreneurship, Supply Chain Management, Artificial Intelligence</t>
  </si>
  <si>
    <t>Dr Thabang Madigoe</t>
  </si>
  <si>
    <t>leadership, general management, small business and entrepreneurship, organisational behaviour, change management and organisational development</t>
  </si>
  <si>
    <t>thabang.madigoe@up.ac.za</t>
  </si>
  <si>
    <t>University of Pretoria</t>
  </si>
  <si>
    <t>Dr. Abdul Majeed S. Fundie</t>
  </si>
  <si>
    <t>fundie796@gmail.com</t>
  </si>
  <si>
    <t xml:space="preserve">South African National Halaal Authority </t>
  </si>
  <si>
    <t>Dr. Mmakganya Mashoene </t>
  </si>
  <si>
    <t>Finance and FinTech, Data Analytics, Economics, E-commerce, Digital Technology, Digital Transformation, Training and Development</t>
  </si>
  <si>
    <t>0785585502</t>
  </si>
  <si>
    <t>0676788174</t>
  </si>
  <si>
    <t>kganyapedi@gmail.com</t>
  </si>
  <si>
    <t>Nedbank</t>
  </si>
  <si>
    <t>Square Kilometre Array Observatory SKAONRF/ SARAO</t>
  </si>
  <si>
    <t>Dr. Humphrey Nkobeng Matlala</t>
  </si>
  <si>
    <t>hnmatlala@mail.com</t>
  </si>
  <si>
    <t>Renewable energy, Digital strategy, Project Management</t>
  </si>
  <si>
    <t xml:space="preserve">Dr. Adeshina Adeniyi </t>
  </si>
  <si>
    <t>adeshinaadeniyi05@gmail.com</t>
  </si>
  <si>
    <t>University of Free State</t>
  </si>
  <si>
    <t>Small Business Management, Entrepreneurship, Human Resource Management, Organisational Behaviour, and Training and Development.</t>
  </si>
  <si>
    <t>project management, general management, artificial intelligence, digital transformation and organisational development.</t>
  </si>
  <si>
    <t>Dr. Neil Govender</t>
  </si>
  <si>
    <t>govneil01@gmail.com</t>
  </si>
  <si>
    <t>0825874200</t>
  </si>
  <si>
    <t>Amazon Web Services</t>
  </si>
  <si>
    <t xml:space="preserve"> ‘0725943232 </t>
  </si>
  <si>
    <t>jimmyserote@gmail.com</t>
  </si>
  <si>
    <t>Nelson Mandela University</t>
  </si>
  <si>
    <t>Higher Education, Education, Social Sciences, Sociology, Human rights.</t>
  </si>
  <si>
    <t>Dr. Julius O. Aroba</t>
  </si>
  <si>
    <t>Data Analytics, Artificial Intelligence, Digital Transformation, Supply Chain Management/ERP/SAP, Project Management, Information Management Systems, Information and Communication Technology.</t>
  </si>
  <si>
    <t>0788754765</t>
  </si>
  <si>
    <t>Jaroba@uj.ac.za</t>
  </si>
  <si>
    <t xml:space="preserve">Dr. Mziwoxolo Mayedwa </t>
  </si>
  <si>
    <t>021 959 4139 or 084 023 6060</t>
  </si>
  <si>
    <t>mmayedwa@uwc.ac.za</t>
  </si>
  <si>
    <t>Digital Technology, Digital Transformation, E-Learning, Higher Education, E-Commerce, E-Government</t>
  </si>
  <si>
    <t>Dr. Vusi Sithole</t>
  </si>
  <si>
    <t>Artificial Intelligence, Emerging technologies, Cloud Computing, Quantum Computing, Internet of Things, Big Data, Cryptos, Machine Learning, IT project management, disruptive technologies, Knowledge Management Systems, e-Commerce platforms.</t>
  </si>
  <si>
    <t>(+27) 67 055 66 87</t>
  </si>
  <si>
    <t>v.kingv9@gmail.com</t>
  </si>
  <si>
    <t>Statistics South Africa</t>
  </si>
  <si>
    <t>Dr. Oluwaseun Opeyemi Martins</t>
  </si>
  <si>
    <t>oluwaseun.martins@fuoye.edu.ng</t>
  </si>
  <si>
    <t>Artificial Intelligence, Data Analytics, Digital Transformation, Digital Technology, Information Management Systems.</t>
  </si>
  <si>
    <t>Mzoxolo Mbiko</t>
  </si>
  <si>
    <t>076 2555 341 or 079 511 6115</t>
  </si>
  <si>
    <t>0752428831</t>
  </si>
  <si>
    <t>elliotmbiko@gmail.com</t>
  </si>
  <si>
    <t>Transnet Rail Infrastructure Manager</t>
  </si>
  <si>
    <t>Supply Chain Management, General Management, Small Business &amp; Entrepreneurship, Operations Management, Organisational Behaviour.</t>
  </si>
  <si>
    <t>Dr. Energy Sonono</t>
  </si>
  <si>
    <t>078 740 2481</t>
  </si>
  <si>
    <t>mesonono@gmail.com</t>
  </si>
  <si>
    <t>Artificial Intelligence, Finance and FinTech, Data Analytics, Digital Technology, E-commerce.</t>
  </si>
  <si>
    <t>083 457 1718 or 076 883 1405</t>
  </si>
  <si>
    <t>Ramapulanaman@gmail.com</t>
  </si>
  <si>
    <t>082 468 3384</t>
  </si>
  <si>
    <t>m.maluleka26@gmail.com</t>
  </si>
  <si>
    <t>Momentum Metropolitan</t>
  </si>
  <si>
    <t>Leadership, General Management, Small Business and Entrepreneurship, Operations Management, Change Management.</t>
  </si>
  <si>
    <t>JORDAN SEKE</t>
  </si>
  <si>
    <t>072 551 3954 or 087 149  0300</t>
  </si>
  <si>
    <t>jordanatwits@gmail.com</t>
  </si>
  <si>
    <t>Training and Development, Human Resource Management, Leadership, General Management, Organisational Behaviour, Organisational Development, Change Management.</t>
  </si>
  <si>
    <t>0694708369</t>
  </si>
  <si>
    <t>arvidmuzanenhamo@gmail.com</t>
  </si>
  <si>
    <t>073 577 3360</t>
  </si>
  <si>
    <t>lawrence.mashimbye1@gmail.com</t>
  </si>
  <si>
    <t>Finance and FinTech, Small Business and Entrepreneurship, General Management, Project Management, Education.</t>
  </si>
  <si>
    <t>JET Education Services</t>
  </si>
  <si>
    <t>Dr. Tshepo Teele</t>
  </si>
  <si>
    <t>Shoprite Checkers</t>
  </si>
  <si>
    <t>0812148397 or 0838815228</t>
  </si>
  <si>
    <t>tspoteele@gmail.com</t>
  </si>
  <si>
    <t>Training and development, Education, Higher Education, Retail management</t>
  </si>
  <si>
    <t>Albert and Mathijs (Pty) Ltd </t>
  </si>
  <si>
    <t>082 8544 959</t>
  </si>
  <si>
    <t>Information Management Systems, Digital Transformation, Leadership, Change Management, Organisational Behaviour, Training and Development, Small Business &amp; Entrepreneurship.</t>
  </si>
  <si>
    <t>manti@mantigrobler.com</t>
  </si>
  <si>
    <t>Mr. Ibukunoluwa Akinrinde</t>
  </si>
  <si>
    <t>ibukunoluwaakinrinde@gmail.com</t>
  </si>
  <si>
    <t>071 024 4553</t>
  </si>
  <si>
    <t>World Bank</t>
  </si>
  <si>
    <t xml:space="preserve">Dr. Mbulaheni Mavhungu </t>
  </si>
  <si>
    <t>MavhunguML@tut.ac.za</t>
  </si>
  <si>
    <t>Prof. Charles Makanyeza</t>
  </si>
  <si>
    <t>cmakanyeza@yahoo.co.uk or chunkline@gmail.com</t>
  </si>
  <si>
    <t>International University of Management,</t>
  </si>
  <si>
    <t>E-commerce, Leadership, Marketing Management, Small Business &amp; Entrepreneurship, and Organisational Behaviour.</t>
  </si>
  <si>
    <t>pheladi.mohlala@sasol.com</t>
  </si>
  <si>
    <t>Dr. Pheladi J. Mohlala</t>
  </si>
  <si>
    <t>Sasol</t>
  </si>
  <si>
    <t>016 960 6249 or 071 855 0707</t>
  </si>
  <si>
    <t>Leadership and General Management, Change Management and Organizational Development, Project Management, Training and Development, Small Business and Entrepreneurship.</t>
  </si>
  <si>
    <t>E-commerce, Education, Training and Development, Small Business, Entrepreneurship, Organisational Behaviour, Organisational Development.</t>
  </si>
  <si>
    <t>Dr. Sithenkosi Lungisa</t>
  </si>
  <si>
    <t>slungisa@ufh.ac.za or slungisantlemeza77@gmail.com</t>
  </si>
  <si>
    <t>Ms Mbangeleli preferred Assessor</t>
  </si>
  <si>
    <t>043 783 5028 or 072 148 6078</t>
  </si>
  <si>
    <t>Small Business and Entrepreneurship</t>
  </si>
  <si>
    <t>Education, Training and development, Leadership, Digital transformation,Artificial intelligence</t>
  </si>
  <si>
    <t>The Independent Institute of Education (The “IIE”)</t>
  </si>
  <si>
    <t>081 781 4493</t>
  </si>
  <si>
    <t>moyovu@gmail.com</t>
  </si>
  <si>
    <t>Mr. Vusumuzi Moyo</t>
  </si>
  <si>
    <t>sumayahe7@gmail.com</t>
  </si>
  <si>
    <t>Education, Leadership, Training and Development, Digital, Human Resource Management.</t>
  </si>
  <si>
    <t>071128 3989</t>
  </si>
  <si>
    <t>Independent contractor</t>
  </si>
  <si>
    <t>Dr. Edward Khomotso Nkadimeng</t>
  </si>
  <si>
    <t>nkadimengedward2@gmail.com or eknkadimeng@tlabs.ac.za</t>
  </si>
  <si>
    <t xml:space="preserve"> 078 348 7253</t>
  </si>
  <si>
    <t>Stellenbosch University</t>
  </si>
  <si>
    <t>Artificial Intelligence, Data Analytics, Digital Transformation, Digital technology, and Blockchain.</t>
  </si>
  <si>
    <t>Dr. Peter Chihwai</t>
  </si>
  <si>
    <t>0645505266</t>
  </si>
  <si>
    <t>Marketing Management, General Management, Leadership, Communication, Small Business and Entrepreneurship, Organisational Development, Training and Development, Supply Chain Management, and Organisational Behaviour.</t>
  </si>
  <si>
    <t>peterchihwai6@gmail.com</t>
  </si>
  <si>
    <t xml:space="preserve">Consultancy and Capacity Development Holdings  </t>
  </si>
  <si>
    <t>Artificial Intelligence, Digital Transformation, E-commerce, Leadership, General Management, Small Business and Entrepreneurship.</t>
  </si>
  <si>
    <t>IIE Varsity College</t>
  </si>
  <si>
    <t>076 8244 055</t>
  </si>
  <si>
    <t>dtelesamaral95@gmail.com</t>
  </si>
  <si>
    <t>Dr. Fezile Notununu</t>
  </si>
  <si>
    <t>063 558 4329 </t>
  </si>
  <si>
    <t>Project management, Leadership, General management, Operations management, Digital Technology.</t>
  </si>
  <si>
    <t>kuko.fn@gmail.com</t>
  </si>
  <si>
    <t>rudzani.magau@outlook.com</t>
  </si>
  <si>
    <t>072 268 5534</t>
  </si>
  <si>
    <t>Leadership, General Management, Change Management, Digital Transformation, Human Resource Management, Communication, Organisational Behaviour. Risk management</t>
  </si>
  <si>
    <t>Dr. Joseph Olusegun Adebayo</t>
  </si>
  <si>
    <t>kingsegun1@gmail.com</t>
  </si>
  <si>
    <t>0747754691</t>
  </si>
  <si>
    <t>University of South Africa</t>
  </si>
  <si>
    <t>Dr. Moetapele Mojaki</t>
  </si>
  <si>
    <t xml:space="preserve"> 067 731 5970 or 066 207 7725</t>
  </si>
  <si>
    <t>MoetapeleMJ@gmail.com</t>
  </si>
  <si>
    <t>Government Pensions Admin Agency</t>
  </si>
  <si>
    <t>Supply Chain Management, Artificial Intelligence, Blockchain, Digital Transformation, Operations Management.</t>
  </si>
  <si>
    <t>Dr. Akinola Segun Ayokunle</t>
  </si>
  <si>
    <t>akinolasegun05@gmail.com, akinolasegun35@yahoo.com</t>
  </si>
  <si>
    <t>0718363582</t>
  </si>
  <si>
    <t>Johannesburg Business School</t>
  </si>
  <si>
    <t>Digital technology , Information management system, Information and communication technology and project management.</t>
  </si>
  <si>
    <t>073 651 9790</t>
  </si>
  <si>
    <t>mbusodewa@gmail.com</t>
  </si>
  <si>
    <t>Southern Centre for Inequality Studies</t>
  </si>
  <si>
    <t>Education, Training and Development, Project Management, Digital Transformation, Leadership.</t>
  </si>
  <si>
    <t>Dr. Kajal Ramnanun</t>
  </si>
  <si>
    <t>University of Kwa-Zulu Natal</t>
  </si>
  <si>
    <t>082 560 3179</t>
  </si>
  <si>
    <t>ramnanunk@gmail.com</t>
  </si>
  <si>
    <t>Dr. Babalwa Vellem</t>
  </si>
  <si>
    <t>083 681 6656 or 063 812 4561</t>
  </si>
  <si>
    <t>vellemb81@gmail.com</t>
  </si>
  <si>
    <t>Project Management, Supply Chain Management.</t>
  </si>
  <si>
    <t>Artificial Intelligence, Digital Transformation, E-commerce, Small Business and Entrepreneurship, Supply Chain Management.</t>
  </si>
  <si>
    <t>UJ</t>
  </si>
  <si>
    <t>Dr. Oseni Taiwo, Amoo</t>
  </si>
  <si>
    <t>0788466205</t>
  </si>
  <si>
    <t>ejire36@gmail.com</t>
  </si>
  <si>
    <t>General Management, Information Management Systems, Artificial Intelligence, Data Analytics, Operations Management, Information and Communications Technology.</t>
  </si>
  <si>
    <t>Communication, Digital Transformation, Leadership, Marketing Management, General Management, Small Business and Entrepreneurship, Training and Development.</t>
  </si>
  <si>
    <t>Dr. David, Love Opeyemi</t>
  </si>
  <si>
    <t>loveopeyemid@uj.ac.za</t>
  </si>
  <si>
    <t>0627162560</t>
  </si>
  <si>
    <t> Project Management, Supply Chain Management, Change Management, Organizational Development, Digital Technology, and Small Business &amp; Entrepreneurship.</t>
  </si>
  <si>
    <t>Mbhalati Lonah</t>
  </si>
  <si>
    <t>mmbhalati@uj.ac.za</t>
  </si>
  <si>
    <t>0115595087</t>
  </si>
  <si>
    <t>Education, Digital transformation, Small Business and Entrepreneurship, Artificial intelligence, Training and development</t>
  </si>
  <si>
    <t>Digital Transformation, E-commerce, Training and Development, Education, Leadership</t>
  </si>
  <si>
    <t>Dr. Ndodana Nleya</t>
  </si>
  <si>
    <t>General Management, Leadership, Strategy, Citizenship, Participation, Protests and Social Movements, Public Finance and Fiscal Policy</t>
  </si>
  <si>
    <t>065 322 5192</t>
  </si>
  <si>
    <t>nleyan@yahoo.com</t>
  </si>
  <si>
    <t>Office of the Public Service Commission</t>
  </si>
  <si>
    <t>leadership, organisational behaviour, marketing and organisational change. </t>
  </si>
  <si>
    <t>mrwebv@unisa.ac.za or viewmrwebi@gmail.com</t>
  </si>
  <si>
    <t>0736722382</t>
  </si>
  <si>
    <t>Finance and FinTech, Digital transformation, Blockchain, General management, Data analytics, Artificial intelligence</t>
  </si>
  <si>
    <t>Wits Business School</t>
  </si>
  <si>
    <t> jacques.totowa@wits.ac.za</t>
  </si>
  <si>
    <t xml:space="preserve"> '011 717 4853 </t>
  </si>
  <si>
    <t>juniormokou0@gmail.com</t>
  </si>
  <si>
    <t>081 814 0030</t>
  </si>
  <si>
    <t>Leadership, Communications, Change Management, Marketing Management, General Management</t>
  </si>
  <si>
    <t>Dr.Suraj Haruna</t>
  </si>
  <si>
    <t>suraJharuna@regent.ac.za</t>
  </si>
  <si>
    <t>072 929 9011</t>
  </si>
  <si>
    <t>Regent Business School:</t>
  </si>
  <si>
    <t>General Management, Small Business &amp; Entrepreneurship, Organisational Behaviour, Education, Operations Management</t>
  </si>
  <si>
    <t>Dr. Tlhologelo Mphahlele</t>
  </si>
  <si>
    <t>Information and Communications Technology, Information Management Systems, Data Analytics, Artificial Intelligence, Blockchain</t>
  </si>
  <si>
    <t>0796927438</t>
  </si>
  <si>
    <t>mphahleletk@gmail.com</t>
  </si>
  <si>
    <t>Standard Bank Group</t>
  </si>
  <si>
    <t>Mr. Herman Coetzee</t>
  </si>
  <si>
    <t>083 388 9006</t>
  </si>
  <si>
    <t>hermanc@mweb.co.za or herman.coetzee@wits.ac.za</t>
  </si>
  <si>
    <t>Leadership in the Digital Economy, Systems Thinking, Digital Transformation, Operations Management, Artificial Intelligence, Digital Technology, Project Management, Marketing Management, Small Business and Entrepreneurship, Organisational Development, Change Management, General Management</t>
  </si>
  <si>
    <t>Currently Assessing</t>
  </si>
  <si>
    <t>WITS Business School</t>
  </si>
  <si>
    <t xml:space="preserve">nsukdeo@uj.ac.za </t>
  </si>
  <si>
    <t>0115596977</t>
  </si>
  <si>
    <t>Operations Management, Quality Management, Marketing Management, Artificial Intelligence, Supply Chain Management, Small Business and Entrepreneurship, Digital Technology, Project Management, Leadership.</t>
  </si>
  <si>
    <t>0761786670</t>
  </si>
  <si>
    <t>curwyn.mapaling@nwu.ac.za or curwyn.mapaling@gmail.com</t>
  </si>
  <si>
    <t>Education, Leadership and Development, Leadership, Organisational Development, Artificial Intelligence.</t>
  </si>
  <si>
    <t>Dr. Samuel Chiromo</t>
  </si>
  <si>
    <t>echirosj@unisa.ac.za</t>
  </si>
  <si>
    <t>012 429 6196</t>
  </si>
  <si>
    <t>Human Resources Management, Leadership, Project Management, Supply Chain Management, General Management, Small Business &amp; Entrepreneurship, Organisational Behavior, Marketing Management, Finance and FinTech, Communication, Change Management, Organisational Development.</t>
  </si>
  <si>
    <t>The Da Vinci Institute</t>
  </si>
  <si>
    <t>0829049043</t>
  </si>
  <si>
    <t>februasa@gmail.com or sam@davinci.ac.za</t>
  </si>
  <si>
    <t>Project Management, Operations Management, Digital Transformation, Business Process Design, General Management, Leadership, Innovation Management, Data Analytics.</t>
  </si>
  <si>
    <t>Dr Henriette Malherbe </t>
  </si>
  <si>
    <t>Organisational Behaviour, Training and Development, Leadership, Organisational Development.   </t>
  </si>
  <si>
    <t>henrietteweyer@gmail.com</t>
  </si>
  <si>
    <t>Training and Development, Education, Leadership, Small Business &amp; Entrepreneurship, Finance and FinTech, Change Management, Organisational Development.</t>
  </si>
  <si>
    <t xml:space="preserve">064 968 2928 or 072 796 7371 </t>
  </si>
  <si>
    <t>shaits@tut.ac.za</t>
  </si>
  <si>
    <t>Dr. Taola Simon Shai</t>
  </si>
  <si>
    <t>Dr. Nwabisa Kolisi</t>
  </si>
  <si>
    <t>084 726 7619</t>
  </si>
  <si>
    <t>kolisi.nwabisa@gmail.com</t>
  </si>
  <si>
    <t>Development Bank of Southern Africa</t>
  </si>
  <si>
    <t>ADeliwe@ufh.ac.za</t>
  </si>
  <si>
    <t xml:space="preserve">University of Fort Hare </t>
  </si>
  <si>
    <t>(0) 43 704 7000 or 083 364 5195</t>
  </si>
  <si>
    <t>Dr. Khumbulani D. Mdletshe</t>
  </si>
  <si>
    <t>0671327626</t>
  </si>
  <si>
    <t>Kmdletshe64@gmail.com</t>
  </si>
  <si>
    <t>Training and Development, Education, Leadership, General Management, Change Management, Organisational Development, Organizational Behaviour, Project Management.</t>
  </si>
  <si>
    <t>041 504 2692</t>
  </si>
  <si>
    <t>Ms. Nonkululeko Khumalo</t>
  </si>
  <si>
    <t>Nonkululeko.Khumalo@mandela.ac.za</t>
  </si>
  <si>
    <t>E-commerce, Marketing Management, Small Business &amp; Entrepreneurship, General Management, Communication.</t>
  </si>
  <si>
    <t>E-commerce, general management, marketing management, small business and entrepreneurship and leadership.</t>
  </si>
  <si>
    <t>E-commerce, Online shopping,Economics</t>
  </si>
  <si>
    <t>Thobile Mtshali</t>
  </si>
  <si>
    <t>Research and development, marketing management, human resource management, leadership, general management, training and development, education.</t>
  </si>
  <si>
    <t>Thobile.bolt@gmail.com or Thobile.mtshali@wits.ac</t>
  </si>
  <si>
    <t>073 2962541</t>
  </si>
  <si>
    <t>University of Witwatersrand - Health Science Research Office</t>
  </si>
  <si>
    <t>Dr. Ndivhuho Tshikovhi</t>
  </si>
  <si>
    <t>tshikovhin@gmail.com</t>
  </si>
  <si>
    <t>BRICS Research Institute</t>
  </si>
  <si>
    <t>Small business and entrepreneurship, human resource management, general management, organizational behaviour, project management, political economy, just energy transitions, BRICS economics.</t>
  </si>
  <si>
    <t>Dr. Njabulo Kambule</t>
  </si>
  <si>
    <t>084 700 7429</t>
  </si>
  <si>
    <t>mailto:njabs4life@gmail.com</t>
  </si>
  <si>
    <t>Energy, environmental studies, education, leadership, training and development, general management, communications.</t>
  </si>
  <si>
    <t>Dr. Lulama Ngwenya</t>
  </si>
  <si>
    <t>076 761 0456</t>
  </si>
  <si>
    <t>Change management, finance and FinTech, small business and entrepreneurship, AI, data analytics.</t>
  </si>
  <si>
    <t>Kuhle Capital</t>
  </si>
  <si>
    <t>Lulama@kuhlecapital.co.za</t>
  </si>
  <si>
    <t>Mr. Timileyin Abiodun</t>
  </si>
  <si>
    <t>abioduntimileyin19@gmail.com</t>
  </si>
  <si>
    <t>Blockchain, Supply Chain Management, Artificial Intelligence, Data Analytics, and Information and Communications Technology.</t>
  </si>
  <si>
    <t>Sol Plaatje University</t>
  </si>
  <si>
    <t>Dr. Maphelo Malgas</t>
  </si>
  <si>
    <t>Maphelo.Malgas@spu.ac.za  </t>
  </si>
  <si>
    <t>053 491 0582</t>
  </si>
  <si>
    <t>Dr. Jey Difference Nyalungu</t>
  </si>
  <si>
    <t>081 889 2628</t>
  </si>
  <si>
    <t>diff.nyalungu@gmail.com or jeyN@dut.ac.za</t>
  </si>
  <si>
    <t>Retail management, small business development, Entrepreneurship, Inclusive Finance.</t>
  </si>
  <si>
    <t>Dr. Vusi Msuthwana</t>
  </si>
  <si>
    <t>vusumzi.msuthwana@mandela.ac.za</t>
  </si>
  <si>
    <t>Training and development, innovation and creativity, strategic management, organisational development, financial education, financial literacy, financial knowledge management.</t>
  </si>
  <si>
    <t>073 056 0040</t>
  </si>
  <si>
    <t>ESG, sustainability, decarbonisation, climate change, sustainable development, renewable energy, energy efficiency, energy policy, circular economy, finance and FinTech, small business and entrepreneurship.</t>
  </si>
  <si>
    <t>065 856 3373 </t>
  </si>
  <si>
    <t>Dr. Stanley Semelane</t>
  </si>
  <si>
    <t>Dr. Chuks Medoh</t>
  </si>
  <si>
    <t>081 051 8519</t>
  </si>
  <si>
    <t>medohch@unisa.ac.za </t>
  </si>
  <si>
    <t>Supply chain management, digital transformation, operations management, data analytics, small business and entrepreneurship.</t>
  </si>
  <si>
    <t>Prof. Mpho Magau</t>
  </si>
  <si>
    <t>072 212 2805</t>
  </si>
  <si>
    <t>Training and development, human resource management, leadership, organisational behaviour, change management.</t>
  </si>
  <si>
    <t>mphom@usb.ac.za or mphom@sun.ac.za</t>
  </si>
  <si>
    <t>072 612-7889</t>
  </si>
  <si>
    <t>Training and development, education, human resource management, leadership, general management, organisational behaviour, communication, change management, organisational development.</t>
  </si>
  <si>
    <t xml:space="preserve">csmith@uj.ac.za </t>
  </si>
  <si>
    <t>063 697 6640</t>
  </si>
  <si>
    <t>Data analytics, digital transformation, digital technology, education, information management system.</t>
  </si>
  <si>
    <t>dmtshwane302@gmail.com</t>
  </si>
  <si>
    <t>Council for Scientific and Industrial Research</t>
  </si>
  <si>
    <t>Dr. Mbalenhle Nxumalo</t>
  </si>
  <si>
    <t>079 084 6375 or 084 696 6681 or063 196 4362</t>
  </si>
  <si>
    <t>General management, small business and entrepreneurship, leadership, organisational behaviour, human resource management, change management.</t>
  </si>
  <si>
    <t>mambalizana@gmail.com or mambalizana@gmail.com</t>
  </si>
  <si>
    <t>Ntseliseng.khumalo@nwu.ac.za or ntsedy@yahoo.com</t>
  </si>
  <si>
    <t>082 680 2175</t>
  </si>
  <si>
    <t>Human Resource Management, Leadership, Artificial Intelligence and its implications for people management, Organisational Behaviour, Training and Development.</t>
  </si>
  <si>
    <t>Dr. Tshepo Chauke</t>
  </si>
  <si>
    <t xml:space="preserve">082 450 2673 or 073 205 0974 </t>
  </si>
  <si>
    <t>Tshepo.chauke@gmail.com</t>
  </si>
  <si>
    <t>Information and Communications Technology, Artificial Intelligence, Blockchain, Data Analytics, Digital Transformation.</t>
  </si>
  <si>
    <t>Dr. Anuoluwapo Durokifa</t>
  </si>
  <si>
    <t>074 973 0198</t>
  </si>
  <si>
    <t>Government, Artificial Intelligence, Digital Transformation, Leadership, Small Business and Entrepreneurship, Development.</t>
  </si>
  <si>
    <t>anudurokifa@gmail.com</t>
  </si>
  <si>
    <t>Dr. Mercy Musakwa</t>
  </si>
  <si>
    <t>tsile.musa@gmail.com</t>
  </si>
  <si>
    <t>073 125 9177</t>
  </si>
  <si>
    <t>General Management, E-Commerce, Marketing Management, Small Business and Entrepreneurship.</t>
  </si>
  <si>
    <t>BOSTON CITY CAMPUS</t>
  </si>
  <si>
    <t>083 556 4276 or 012 429 4988</t>
  </si>
  <si>
    <t>vanans@unisa.ac.za or sumeiv@gmail.com</t>
  </si>
  <si>
    <t>082 466 0407</t>
  </si>
  <si>
    <t>Dr. Riaan Dirkse van Schalkwyk</t>
  </si>
  <si>
    <t>dirksr@unisa.ac.za</t>
  </si>
  <si>
    <t>Project Management, Leadership, General Management, Operations Management, Training and Development.</t>
  </si>
  <si>
    <t>Prof. Katleho Moloi</t>
  </si>
  <si>
    <t>0)31 373 2603</t>
  </si>
  <si>
    <t>drkatleho.moloi@gmail.com</t>
  </si>
  <si>
    <t>Centre for Augmented Intelligence and Data Science in the School of Computing</t>
  </si>
  <si>
    <t>Leadership, General Management, Small Business and Entrepreneurship, Project Management, Operations Management.</t>
  </si>
  <si>
    <t>Dr. Sheilla Nyasha</t>
  </si>
  <si>
    <t>Department of Trade, Industry and Competition &amp; University of South Africa</t>
  </si>
  <si>
    <t>0)79 104 2942</t>
  </si>
  <si>
    <t>sheillanyasha@gmail.com</t>
  </si>
  <si>
    <t>Digital Transformation, E-Commerce, Digital Technology, Project Management, General Management, Small Business &amp; Entrepreneurship, Organisational Behaviour, Change Management, Organisational Development.</t>
  </si>
  <si>
    <t>Storm.Watson@mandela.ac.za</t>
  </si>
  <si>
    <t>Artificial Intelligence, Digital Transformation, General Management, Marketing Management, E-Commerce, Small Business and Entrepreneurship.</t>
  </si>
  <si>
    <t>079 880 5511</t>
  </si>
  <si>
    <t>Ncedo Maseko</t>
  </si>
  <si>
    <t>076 4774890</t>
  </si>
  <si>
    <t>sandincedo@gmail.com</t>
  </si>
  <si>
    <t>Artificial Intelligence (AI), Machine Learning, Renewable ernegy, Solar power, Data Analytics</t>
  </si>
  <si>
    <t>Solar Africa</t>
  </si>
  <si>
    <t>Dr. Courage Matobobo</t>
  </si>
  <si>
    <t>084 467 6794</t>
  </si>
  <si>
    <t>couragemat@gmail.com</t>
  </si>
  <si>
    <t>Walter Sisulu University</t>
  </si>
  <si>
    <t>Information and Communications Technology, Digital Technology, and Education</t>
  </si>
  <si>
    <t>Jayesh Reddy </t>
  </si>
  <si>
    <t>jayeshreddy@gmail.com</t>
  </si>
  <si>
    <t>073 334 5623</t>
  </si>
  <si>
    <t>Systems Thinking, Design Thinking, Innovation Management, Operations Management</t>
  </si>
  <si>
    <t>Artificial Intelligence, Leadership, Digital Transformation, Data Analytics, Organizational Development</t>
  </si>
  <si>
    <t>Dr. Eric Mikobi Bakama</t>
  </si>
  <si>
    <t>Operations Management, Digital technology, Education, Supply Chain Management, Artificial Intelligence.</t>
  </si>
  <si>
    <t xml:space="preserve"> erickbakama@gmail.com</t>
  </si>
  <si>
    <t>083 543 1326</t>
  </si>
  <si>
    <t xml:space="preserve">Mr. Sinaye Mtimba </t>
  </si>
  <si>
    <t>061 433 2968</t>
  </si>
  <si>
    <t>Mtimba.sa@gmail.com or Sinaye.Mtimba@mandela.ac.za</t>
  </si>
  <si>
    <t>General management, Small Business &amp; Entrepreneurship, Organisational behaviour, Marketing Management, Finance and FinTech.</t>
  </si>
  <si>
    <t>078 5971 832</t>
  </si>
  <si>
    <t>Dr. Nyasha Chatikobo</t>
  </si>
  <si>
    <t>Data Analytics, Project Management, Leadership, Training and Development, Organisational Development.</t>
  </si>
  <si>
    <t>nyashachatikobo@gmail.com</t>
  </si>
  <si>
    <t>azizz@unisa.ac.za</t>
  </si>
  <si>
    <t>Project Management, Leadership, Digital Transformation, Operations Management, Organisational Behaviour.</t>
  </si>
  <si>
    <t>082 078 6042</t>
  </si>
  <si>
    <t>Prof. Serestina Viriri</t>
  </si>
  <si>
    <t>Artificial Intelligence, Information and Communication Technology, Information Management Systems, Digital Technology, Digital Transformation, Blockchain.</t>
  </si>
  <si>
    <t>072 711 9447</t>
  </si>
  <si>
    <t>sviriri@ieee.org or viriris@ukzn.ac.za</t>
  </si>
  <si>
    <t>Dr. Lean Makhubele</t>
  </si>
  <si>
    <t>Data Analytics, Digital Transformation, Information and Communication Technology, Artificial Intelligence, E-commerce.</t>
  </si>
  <si>
    <t>082 552 3525</t>
  </si>
  <si>
    <t>leanmz@gmail.com</t>
  </si>
  <si>
    <t>Transnet Property</t>
  </si>
  <si>
    <t>General Management, Small Business &amp; Entrepreneurship, Marketing Management, Operations Management, E-commerce.</t>
  </si>
  <si>
    <t>063 555 4219</t>
  </si>
  <si>
    <t>geedonga@gmail.com</t>
  </si>
  <si>
    <t>General Management, Organisational Development, Change Management, Training and Development, Supply Chain Management.</t>
  </si>
  <si>
    <t>Nicole.deabreu@up.ac.za</t>
  </si>
  <si>
    <t>071 688 5052</t>
  </si>
  <si>
    <t>Nicole De Abreu</t>
  </si>
  <si>
    <t>mphidim@uj.ac.za</t>
  </si>
  <si>
    <t>083-282-1332</t>
  </si>
  <si>
    <t>072 094 8642</t>
  </si>
  <si>
    <t>vfunda@ufh.ac.za</t>
  </si>
  <si>
    <t>Information Management Systems, Information Communications Technology, Digital Technology, Artificial Intelligence, Digital Transformation.</t>
  </si>
  <si>
    <t>dlazazikhona@gmail.com</t>
  </si>
  <si>
    <t>078 392 2738</t>
  </si>
  <si>
    <t>Human Resources Management, Organisational Behaviour, Change Management, Organisational Development, Education.</t>
  </si>
  <si>
    <t>Dr. Raikane James Seretlo</t>
  </si>
  <si>
    <t>Artificial Intelligence, Digital Transformation, Training and Development, Leadership, Marketing Management.</t>
  </si>
  <si>
    <t>074 717 9902</t>
  </si>
  <si>
    <t>Jamesseretlo@gmail.com or Raikane.seretlo@smu.ac.za</t>
  </si>
  <si>
    <t>082 456 2468</t>
  </si>
  <si>
    <t>xolani.msila@sasol.com</t>
  </si>
  <si>
    <t>Operations Management, General Management, Change Management, Leadership, Organisational Behaviour.</t>
  </si>
  <si>
    <t>Dr. Takalani Mashamba</t>
  </si>
  <si>
    <t>Project Management, Digital Transformation, Digital Technology, Change Management, Operations Management.</t>
  </si>
  <si>
    <t>Rand Water Board</t>
  </si>
  <si>
    <t>takimashamba38@gmail.com</t>
  </si>
  <si>
    <t>072 551 8992</t>
  </si>
  <si>
    <t>Data Analytics, Digital Transformation, Information Management Systems, Information and Communication Technology, E-commerce, Finance and FinTech.</t>
  </si>
  <si>
    <t>066 299 1680</t>
  </si>
  <si>
    <t>paledivn@gmail.com</t>
  </si>
  <si>
    <t>Auditor General South Africa</t>
  </si>
  <si>
    <t>Dr. Modiehi Winnie Rammutloa</t>
  </si>
  <si>
    <t>082 698 5943</t>
  </si>
  <si>
    <t>rammumw@unisa.ac.za or mailto:rammumw@unisa.ac.za/winnie.rammutloa@gmail.com</t>
  </si>
  <si>
    <t>Dr. Sinakhokonke Mpanza</t>
  </si>
  <si>
    <t>General Management, Small Business &amp; Entrepreneurship, Leadership, Operations Management, Project Management, Finance and FinTech.</t>
  </si>
  <si>
    <t>sinakhompanza@gmail.com or mpanzs@unisa.ac.za</t>
  </si>
  <si>
    <t>074 579 0053</t>
  </si>
  <si>
    <t>Dr. Mpho Sharon Makgedi Makaleng</t>
  </si>
  <si>
    <t>sharonmakaleng@gmail.com</t>
  </si>
  <si>
    <t>076 211 9990</t>
  </si>
  <si>
    <t>Reverse Logistics, Supply Chain Management, Procurement/E-Procurement, Warehousing, Inventory Management.</t>
  </si>
  <si>
    <t>072 620 7878</t>
  </si>
  <si>
    <t>Dr. Shirley Mahlase</t>
  </si>
  <si>
    <t>smahlase100@gmail.com or smahlase@uj.ac.za</t>
  </si>
  <si>
    <t>Training and Development, Education, Human Resource Management, Leadership, General Management.</t>
  </si>
  <si>
    <t>Dr. Eddie Mahembe</t>
  </si>
  <si>
    <t>060 532 8754</t>
  </si>
  <si>
    <t>Education, Small Business and Entrepreneurship, General Management, Information and Communication Technology (ICT), Finance and FinTech.</t>
  </si>
  <si>
    <t>eddiemmahembe@outlook.com</t>
  </si>
  <si>
    <t>Dr. Nonceba Ntoyanto-Tyatyantsi</t>
  </si>
  <si>
    <t>ntoyan@unisa.ac.za</t>
  </si>
  <si>
    <t xml:space="preserve">Small Business and Entrepreneurship, Digital Technology, Artificial Intelligence, E-commerce, and General Management </t>
  </si>
  <si>
    <t>078 523 3719</t>
  </si>
  <si>
    <t>Dr. Takalani Tshabalala</t>
  </si>
  <si>
    <t>Organisational Behaviour, Operations Management, Organisational Development, Change Management, Project Management, Leadership.</t>
  </si>
  <si>
    <t xml:space="preserve">tnemarumane@uj.ac.za </t>
  </si>
  <si>
    <t>072 406 9088</t>
  </si>
  <si>
    <t xml:space="preserve">012 429 8293 or 083 754 0916  </t>
  </si>
  <si>
    <t>khosarm@unisa.ac.za</t>
  </si>
  <si>
    <t>General Management, Small Business Management &amp; Entrepreneurship, Change Management, Organisational Behaviour, Marketing Management</t>
  </si>
  <si>
    <t>Dr. Phatudi Mudzunga</t>
  </si>
  <si>
    <t>066 437 1919</t>
  </si>
  <si>
    <t>phatudi.setati@gmail.com</t>
  </si>
  <si>
    <t>Data Analytics, Digital Transformation, Information Management Systems, Information and Communications Technology, Digital Technology, Project Management</t>
  </si>
  <si>
    <t>National Regulator for Compulsory Standards</t>
  </si>
  <si>
    <t>Digital Transformation, Digital Technology, Leadership, Small Business and Entrepreneurship, Information and Communication Technology.</t>
  </si>
  <si>
    <t>Artificial Intelligence</t>
  </si>
  <si>
    <t>Data Analytics</t>
  </si>
  <si>
    <t>X</t>
  </si>
  <si>
    <t>Digital Transformation</t>
  </si>
  <si>
    <t>E-commerce</t>
  </si>
  <si>
    <t>Digital Technology</t>
  </si>
  <si>
    <t>Blockchain</t>
  </si>
  <si>
    <t>Training and Development</t>
  </si>
  <si>
    <t>Education</t>
  </si>
  <si>
    <t>Human Resource Management</t>
  </si>
  <si>
    <t>Supply Chain Management</t>
  </si>
  <si>
    <t>Project Management</t>
  </si>
  <si>
    <t>Leadership</t>
  </si>
  <si>
    <t>General Management</t>
  </si>
  <si>
    <t>Small Business &amp; Entrepreneurship</t>
  </si>
  <si>
    <t>Information Management Systems</t>
  </si>
  <si>
    <t>Organisational Behaviour</t>
  </si>
  <si>
    <t>Marketing Management</t>
  </si>
  <si>
    <t>Operations Management</t>
  </si>
  <si>
    <t>Finance and FinTech</t>
  </si>
  <si>
    <t>Information and Communications Technology</t>
  </si>
  <si>
    <t>Communication</t>
  </si>
  <si>
    <t>Change Management</t>
  </si>
  <si>
    <t>Organisational Development</t>
  </si>
  <si>
    <t xml:space="preserve">Digital Marketing </t>
  </si>
  <si>
    <t xml:space="preserve">Development Studies </t>
  </si>
  <si>
    <t xml:space="preserve">Consumer Behaviour </t>
  </si>
  <si>
    <t xml:space="preserve">Public Sector </t>
  </si>
  <si>
    <t xml:space="preserve">Governance Policy and Development </t>
  </si>
  <si>
    <t xml:space="preserve">Logistics </t>
  </si>
  <si>
    <t xml:space="preserve">Retail Management </t>
  </si>
  <si>
    <t xml:space="preserve"> Engineering</t>
  </si>
  <si>
    <t>Strategic Management</t>
  </si>
  <si>
    <t>Agriculture</t>
  </si>
  <si>
    <t>x</t>
  </si>
  <si>
    <t>Education, Digital Transformation, Information and Knowledge Management, Information Management Systems.</t>
  </si>
  <si>
    <t xml:space="preserve">Knowledge Management </t>
  </si>
  <si>
    <t xml:space="preserve">Business Process Design </t>
  </si>
  <si>
    <t xml:space="preserve">Economics </t>
  </si>
  <si>
    <t>Sustainable Development</t>
  </si>
  <si>
    <t>Renewable Energy</t>
  </si>
  <si>
    <t>corporate governance</t>
  </si>
  <si>
    <t xml:space="preserve">Climate change </t>
  </si>
  <si>
    <t>Social Sciences</t>
  </si>
  <si>
    <t>Auditing</t>
  </si>
  <si>
    <t xml:space="preserve"> Risk management</t>
  </si>
  <si>
    <t>Quality Management</t>
  </si>
  <si>
    <t>Polotical Economy</t>
  </si>
  <si>
    <t xml:space="preserve"> Innovation Management</t>
  </si>
  <si>
    <r>
      <t xml:space="preserve">mojapelo1983@gmail.com or </t>
    </r>
    <r>
      <rPr>
        <sz val="12"/>
        <color indexed="8"/>
        <rFont val="Aptos Display"/>
        <family val="2"/>
        <scheme val="major"/>
      </rPr>
      <t>Jerrymojapelo@yahoo.com</t>
    </r>
  </si>
  <si>
    <r>
      <t xml:space="preserve">Small Business and Entrepreneurship, </t>
    </r>
    <r>
      <rPr>
        <i/>
        <sz val="12"/>
        <color theme="1"/>
        <rFont val="Aptos Display"/>
        <family val="2"/>
        <scheme val="major"/>
      </rPr>
      <t>Organizational Behaviour</t>
    </r>
    <r>
      <rPr>
        <sz val="12"/>
        <color theme="1"/>
        <rFont val="Aptos Display"/>
        <family val="2"/>
        <scheme val="major"/>
      </rPr>
      <t xml:space="preserve">, and </t>
    </r>
    <r>
      <rPr>
        <i/>
        <sz val="12"/>
        <color theme="1"/>
        <rFont val="Aptos Display"/>
        <family val="2"/>
        <scheme val="major"/>
      </rPr>
      <t>Human Resource Management</t>
    </r>
  </si>
  <si>
    <t>digital technology, blockchain, ICT, information management systems, and leadership.</t>
  </si>
  <si>
    <r>
      <t xml:space="preserve">Digital Transformation, </t>
    </r>
    <r>
      <rPr>
        <u/>
        <sz val="12"/>
        <color theme="1"/>
        <rFont val="Aptos Display"/>
        <family val="2"/>
        <scheme val="major"/>
      </rPr>
      <t>E-commerce</t>
    </r>
    <r>
      <rPr>
        <sz val="12"/>
        <color theme="1"/>
        <rFont val="Aptos Display"/>
        <family val="2"/>
        <scheme val="major"/>
      </rPr>
      <t xml:space="preserve">, </t>
    </r>
    <r>
      <rPr>
        <u/>
        <sz val="12"/>
        <color theme="1"/>
        <rFont val="Aptos Display"/>
        <family val="2"/>
        <scheme val="major"/>
      </rPr>
      <t>Supply Chain Management</t>
    </r>
    <r>
      <rPr>
        <sz val="12"/>
        <color theme="1"/>
        <rFont val="Aptos Display"/>
        <family val="2"/>
        <scheme val="major"/>
      </rPr>
      <t xml:space="preserve">, </t>
    </r>
    <r>
      <rPr>
        <u/>
        <sz val="12"/>
        <color theme="1"/>
        <rFont val="Aptos Display"/>
        <family val="2"/>
        <scheme val="major"/>
      </rPr>
      <t>Small Business &amp; Entrepreneurship</t>
    </r>
    <r>
      <rPr>
        <sz val="12"/>
        <color theme="1"/>
        <rFont val="Aptos Display"/>
        <family val="2"/>
        <scheme val="major"/>
      </rPr>
      <t xml:space="preserve">, </t>
    </r>
    <r>
      <rPr>
        <u/>
        <sz val="12"/>
        <color theme="1"/>
        <rFont val="Aptos Display"/>
        <family val="2"/>
        <scheme val="major"/>
      </rPr>
      <t>Blockchain</t>
    </r>
  </si>
  <si>
    <t>Dr. David Tshwane</t>
  </si>
  <si>
    <r>
      <t>Dr. Gift Donga</t>
    </r>
    <r>
      <rPr>
        <b/>
        <i/>
        <sz val="12"/>
        <color rgb="FF3D85C6"/>
        <rFont val="Aptos Display"/>
        <family val="2"/>
        <scheme val="major"/>
      </rPr>
      <t xml:space="preserve"> </t>
    </r>
  </si>
  <si>
    <r>
      <t xml:space="preserve">Dr. </t>
    </r>
    <r>
      <rPr>
        <sz val="12"/>
        <color rgb="FF000000"/>
        <rFont val="Aptos Display"/>
        <family val="2"/>
        <scheme val="major"/>
      </rPr>
      <t>Xolani Msila</t>
    </r>
  </si>
  <si>
    <t>MEETS CRITERIA</t>
  </si>
  <si>
    <t>COMMENTS</t>
  </si>
  <si>
    <t>Dr. Pakama Madikida</t>
  </si>
  <si>
    <t>Dr. Siyabulela Christopher Fobosi</t>
  </si>
  <si>
    <t>Prof. Thasmai Dhurumraj</t>
  </si>
  <si>
    <t>Prof. Frikkie Herbst</t>
  </si>
  <si>
    <t>Dr. Kingstone Nyakurukwa</t>
  </si>
  <si>
    <t>Dr. Godswill Osagie Osuma</t>
  </si>
  <si>
    <r>
      <t>Prof. Jules Mba</t>
    </r>
    <r>
      <rPr>
        <b/>
        <sz val="12"/>
        <color theme="1"/>
        <rFont val="Aptos Display"/>
        <family val="2"/>
        <scheme val="major"/>
      </rPr>
      <t xml:space="preserve"> </t>
    </r>
  </si>
  <si>
    <r>
      <t>Mr. Lwazi Mkhwebane</t>
    </r>
    <r>
      <rPr>
        <b/>
        <sz val="12"/>
        <color theme="1"/>
        <rFont val="Aptos Display"/>
        <family val="2"/>
        <scheme val="major"/>
      </rPr>
      <t xml:space="preserve"> </t>
    </r>
  </si>
  <si>
    <t>Dr. Stefan Brandt</t>
  </si>
  <si>
    <t>Dr. Anos Chitamba</t>
  </si>
  <si>
    <t>Dr. Olugbenga Adegbemisola Aderoba</t>
  </si>
  <si>
    <t>Dr. Benjamin Manasoe</t>
  </si>
  <si>
    <t>Dr. Mpho Lawrence Maluleka</t>
  </si>
  <si>
    <t>Dr. Arvid Muzanenhamo </t>
  </si>
  <si>
    <t>Dr. Lawrence Mashimbye</t>
  </si>
  <si>
    <t>Dr. Manti Grobler</t>
  </si>
  <si>
    <t>Dr. Sumayah Ebrahim</t>
  </si>
  <si>
    <t>Dr. Daniella Teles Amaral</t>
  </si>
  <si>
    <t>Dr. Rudzani Magau</t>
  </si>
  <si>
    <t>Dr. Mbuso Moyo</t>
  </si>
  <si>
    <t>Prof. Viwe Mrwebi </t>
  </si>
  <si>
    <t>Dr. Jacques Totowa</t>
  </si>
  <si>
    <r>
      <t>Prof. Nita Inderlal Sukdeo</t>
    </r>
    <r>
      <rPr>
        <b/>
        <sz val="12"/>
        <color theme="1"/>
        <rFont val="Aptos Display"/>
        <family val="2"/>
        <scheme val="major"/>
      </rPr>
      <t xml:space="preserve"> </t>
    </r>
  </si>
  <si>
    <t xml:space="preserve">Prof. Curwyn Mapaling </t>
  </si>
  <si>
    <t>Dr. Sam February</t>
  </si>
  <si>
    <t>Prof. Ayanda Deliwe</t>
  </si>
  <si>
    <t>Dr. Clive Smith</t>
  </si>
  <si>
    <t>Dr. Ntseliseng Khumalo  </t>
  </si>
  <si>
    <t>Prof. Van Antwerpen</t>
  </si>
  <si>
    <t>Dr. Storm Watson</t>
  </si>
  <si>
    <r>
      <t>Dr. Hamilton Mphidi</t>
    </r>
    <r>
      <rPr>
        <b/>
        <sz val="12"/>
        <color theme="1"/>
        <rFont val="Aptos Display"/>
        <family val="2"/>
        <scheme val="major"/>
      </rPr>
      <t xml:space="preserve"> </t>
    </r>
  </si>
  <si>
    <t xml:space="preserve">Dr. Vusumzi Funda </t>
  </si>
  <si>
    <t>Dr. Zikhona Dlaza</t>
  </si>
  <si>
    <t>Dr. Victor Paledi</t>
  </si>
  <si>
    <t>Dr. Risimati Maurice Khosa</t>
  </si>
  <si>
    <t>Dr. Pfanelo Nematatani</t>
  </si>
  <si>
    <t>Dr. Sefeoluwa Badaru</t>
  </si>
  <si>
    <t>Mrs. Zainab Aziz</t>
  </si>
  <si>
    <t>Dr. Nontethelelo Precious Tshivhase</t>
  </si>
  <si>
    <t>Dr. Rivalani Willie Hlongwane</t>
  </si>
  <si>
    <t>Dr. Abraham Chupe Serote</t>
  </si>
  <si>
    <t>DR. Rakgwatha Mokou</t>
  </si>
  <si>
    <t>Mr Jerry Mojapelo</t>
  </si>
  <si>
    <t>Mr.Tichaona Buzy Musikavanhu</t>
  </si>
  <si>
    <t>Digital technology, Information systems, Public Administration, Communication</t>
  </si>
  <si>
    <t>083 642 6337</t>
  </si>
  <si>
    <t>Business ethics</t>
  </si>
  <si>
    <t>Environmental studies</t>
  </si>
  <si>
    <t>List of MBA Capstone Project Assessors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</si>
</sst>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u/>
      <sz val="12"/>
      <color theme="10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sz val="12"/>
      <color rgb="FF242424"/>
      <name val="Aptos Display"/>
      <family val="2"/>
      <scheme val="major"/>
    </font>
    <font>
      <sz val="12"/>
      <color indexed="8"/>
      <name val="Aptos Display"/>
      <family val="2"/>
      <scheme val="major"/>
    </font>
    <font>
      <i/>
      <sz val="12"/>
      <color theme="1"/>
      <name val="Aptos Display"/>
      <family val="2"/>
      <scheme val="major"/>
    </font>
    <font>
      <sz val="12"/>
      <color rgb="FF1D2228"/>
      <name val="Aptos Display"/>
      <family val="2"/>
      <scheme val="major"/>
    </font>
    <font>
      <u/>
      <sz val="12"/>
      <color theme="1"/>
      <name val="Aptos Display"/>
      <family val="2"/>
      <scheme val="major"/>
    </font>
    <font>
      <sz val="12"/>
      <color rgb="FF474747"/>
      <name val="Aptos Display"/>
      <family val="2"/>
      <scheme val="major"/>
    </font>
    <font>
      <b/>
      <i/>
      <sz val="12"/>
      <color rgb="FF3D85C6"/>
      <name val="Aptos Display"/>
      <family val="2"/>
      <scheme val="maj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18" fillId="0" borderId="0" xfId="0" applyFont="1"/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6" fillId="0" borderId="1" xfId="0" applyFont="1" applyBorder="1"/>
    <xf numFmtId="0" fontId="9" fillId="0" borderId="1" xfId="1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9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4" fillId="0" borderId="1" xfId="0" quotePrefix="1" applyFont="1" applyBorder="1" applyAlignment="1">
      <alignment vertical="center"/>
    </xf>
    <xf numFmtId="0" fontId="14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 textRotation="90"/>
    </xf>
    <xf numFmtId="0" fontId="0" fillId="0" borderId="1" xfId="0" applyBorder="1"/>
    <xf numFmtId="0" fontId="7" fillId="0" borderId="0" xfId="0" applyFont="1" applyAlignment="1">
      <alignment horizontal="center" vertical="center"/>
    </xf>
    <xf numFmtId="0" fontId="6" fillId="4" borderId="1" xfId="0" quotePrefix="1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 textRotation="90"/>
    </xf>
    <xf numFmtId="0" fontId="6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9" fillId="5" borderId="1" xfId="1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vertical="center"/>
    </xf>
    <xf numFmtId="0" fontId="6" fillId="5" borderId="1" xfId="0" quotePrefix="1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 textRotation="90"/>
    </xf>
    <xf numFmtId="0" fontId="7" fillId="5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luwaseun.martins@fuoye.edu.ng" TargetMode="External"/><Relationship Id="rId18" Type="http://schemas.openxmlformats.org/officeDocument/2006/relationships/hyperlink" Target="mailto:moyovu@gmail.com" TargetMode="External"/><Relationship Id="rId26" Type="http://schemas.openxmlformats.org/officeDocument/2006/relationships/hyperlink" Target="mailto:mrwebv@unisa.ac.za" TargetMode="External"/><Relationship Id="rId39" Type="http://schemas.openxmlformats.org/officeDocument/2006/relationships/hyperlink" Target="mailto:csmith@uj.ac.za" TargetMode="External"/><Relationship Id="rId21" Type="http://schemas.openxmlformats.org/officeDocument/2006/relationships/hyperlink" Target="mailto:mbusodewa@gmail.com" TargetMode="External"/><Relationship Id="rId34" Type="http://schemas.openxmlformats.org/officeDocument/2006/relationships/hyperlink" Target="mailto:abioduntimileyin19@gmail.com" TargetMode="External"/><Relationship Id="rId42" Type="http://schemas.openxmlformats.org/officeDocument/2006/relationships/hyperlink" Target="mailto:anudurokifa@gmail.com" TargetMode="External"/><Relationship Id="rId47" Type="http://schemas.openxmlformats.org/officeDocument/2006/relationships/hyperlink" Target="mailto:couragemat@gmail.com" TargetMode="External"/><Relationship Id="rId50" Type="http://schemas.openxmlformats.org/officeDocument/2006/relationships/hyperlink" Target="mailto:leanmz@gmail.com" TargetMode="External"/><Relationship Id="rId55" Type="http://schemas.openxmlformats.org/officeDocument/2006/relationships/hyperlink" Target="mailto:xolani.msila@sasol.com" TargetMode="External"/><Relationship Id="rId63" Type="http://schemas.openxmlformats.org/officeDocument/2006/relationships/hyperlink" Target="mailto:phatudi.setati@gmail.com" TargetMode="External"/><Relationship Id="rId7" Type="http://schemas.openxmlformats.org/officeDocument/2006/relationships/hyperlink" Target="mailto:stephen.moyo@yahoo.com" TargetMode="External"/><Relationship Id="rId2" Type="http://schemas.openxmlformats.org/officeDocument/2006/relationships/hyperlink" Target="mailto:madikidapakama@gmail.com" TargetMode="External"/><Relationship Id="rId16" Type="http://schemas.openxmlformats.org/officeDocument/2006/relationships/hyperlink" Target="mailto:MavhunguML@tut.ac.za" TargetMode="External"/><Relationship Id="rId29" Type="http://schemas.openxmlformats.org/officeDocument/2006/relationships/hyperlink" Target="mailto:nsukdeo@uj.ac.za" TargetMode="External"/><Relationship Id="rId11" Type="http://schemas.openxmlformats.org/officeDocument/2006/relationships/hyperlink" Target="mailto:fundie796@gmail.com" TargetMode="External"/><Relationship Id="rId24" Type="http://schemas.openxmlformats.org/officeDocument/2006/relationships/hyperlink" Target="mailto:loveopeyemid@uj.ac.za" TargetMode="External"/><Relationship Id="rId32" Type="http://schemas.openxmlformats.org/officeDocument/2006/relationships/hyperlink" Target="mailto:rpiderit@ufh.ac.za" TargetMode="External"/><Relationship Id="rId37" Type="http://schemas.openxmlformats.org/officeDocument/2006/relationships/hyperlink" Target="mailto:vusumzi.msuthwana@mandela.ac.za" TargetMode="External"/><Relationship Id="rId40" Type="http://schemas.openxmlformats.org/officeDocument/2006/relationships/hyperlink" Target="mailto:mambalizana@gmail.com" TargetMode="External"/><Relationship Id="rId45" Type="http://schemas.openxmlformats.org/officeDocument/2006/relationships/hyperlink" Target="mailto:dirksr@unisa.ac.za" TargetMode="External"/><Relationship Id="rId53" Type="http://schemas.openxmlformats.org/officeDocument/2006/relationships/hyperlink" Target="mailto:vfunda@ufh.ac.za" TargetMode="External"/><Relationship Id="rId58" Type="http://schemas.openxmlformats.org/officeDocument/2006/relationships/hyperlink" Target="mailto:sharonmakaleng@gmail.com" TargetMode="External"/><Relationship Id="rId5" Type="http://schemas.openxmlformats.org/officeDocument/2006/relationships/hyperlink" Target="mailto:herbst.frikkie@nwu.ac.za" TargetMode="External"/><Relationship Id="rId61" Type="http://schemas.openxmlformats.org/officeDocument/2006/relationships/hyperlink" Target="mailto:tnemarumane@uj.ac.za" TargetMode="External"/><Relationship Id="rId19" Type="http://schemas.openxmlformats.org/officeDocument/2006/relationships/hyperlink" Target="mailto:peterchihwai6@gmail.com" TargetMode="External"/><Relationship Id="rId14" Type="http://schemas.openxmlformats.org/officeDocument/2006/relationships/hyperlink" Target="mailto:Ramapulanaman@gmail.com" TargetMode="External"/><Relationship Id="rId22" Type="http://schemas.openxmlformats.org/officeDocument/2006/relationships/hyperlink" Target="mailto:ramnanunk@gmail.com" TargetMode="External"/><Relationship Id="rId27" Type="http://schemas.openxmlformats.org/officeDocument/2006/relationships/hyperlink" Target="mailto:jacques.totowa@wits.ac.za" TargetMode="External"/><Relationship Id="rId30" Type="http://schemas.openxmlformats.org/officeDocument/2006/relationships/hyperlink" Target="mailto:curwyn.mapaling@nwu.ac.za" TargetMode="External"/><Relationship Id="rId35" Type="http://schemas.openxmlformats.org/officeDocument/2006/relationships/hyperlink" Target="mailto:Maphelo.Malgas@spu.ac.za" TargetMode="External"/><Relationship Id="rId43" Type="http://schemas.openxmlformats.org/officeDocument/2006/relationships/hyperlink" Target="mailto:tsile.musa@gmail.com" TargetMode="External"/><Relationship Id="rId48" Type="http://schemas.openxmlformats.org/officeDocument/2006/relationships/hyperlink" Target="mailto:Mtimba.sa@gmail.com" TargetMode="External"/><Relationship Id="rId56" Type="http://schemas.openxmlformats.org/officeDocument/2006/relationships/hyperlink" Target="mailto:rammumw@unisa.ac.za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mailto:djakwe@outlook.com" TargetMode="External"/><Relationship Id="rId51" Type="http://schemas.openxmlformats.org/officeDocument/2006/relationships/hyperlink" Target="mailto:Nicole.deabreu@up.ac.za" TargetMode="External"/><Relationship Id="rId3" Type="http://schemas.openxmlformats.org/officeDocument/2006/relationships/hyperlink" Target="mailto:sfobosi@ufh.ac.za" TargetMode="External"/><Relationship Id="rId12" Type="http://schemas.openxmlformats.org/officeDocument/2006/relationships/hyperlink" Target="mailto:michaelr@uj.ac.za" TargetMode="External"/><Relationship Id="rId17" Type="http://schemas.openxmlformats.org/officeDocument/2006/relationships/hyperlink" Target="mailto:pheladi.mohlala@sasol.com" TargetMode="External"/><Relationship Id="rId25" Type="http://schemas.openxmlformats.org/officeDocument/2006/relationships/hyperlink" Target="mailto:mmbhalati@uj.ac.za" TargetMode="External"/><Relationship Id="rId33" Type="http://schemas.openxmlformats.org/officeDocument/2006/relationships/hyperlink" Target="mailto:Nonkululeko.Khumalo@mandela.ac.za" TargetMode="External"/><Relationship Id="rId38" Type="http://schemas.openxmlformats.org/officeDocument/2006/relationships/hyperlink" Target="mailto:medohch@unisa.ac.za" TargetMode="External"/><Relationship Id="rId46" Type="http://schemas.openxmlformats.org/officeDocument/2006/relationships/hyperlink" Target="mailto:Storm.Watson@mandela.ac.za" TargetMode="External"/><Relationship Id="rId59" Type="http://schemas.openxmlformats.org/officeDocument/2006/relationships/hyperlink" Target="mailto:smahlase100@gmail.com" TargetMode="External"/><Relationship Id="rId20" Type="http://schemas.openxmlformats.org/officeDocument/2006/relationships/hyperlink" Target="mailto:kuko.fn@gmail.com" TargetMode="External"/><Relationship Id="rId41" Type="http://schemas.openxmlformats.org/officeDocument/2006/relationships/hyperlink" Target="mailto:Ntseliseng.khumalo@nwu.ac.za" TargetMode="External"/><Relationship Id="rId54" Type="http://schemas.openxmlformats.org/officeDocument/2006/relationships/hyperlink" Target="mailto:Jamesseretlo@gmail.com" TargetMode="External"/><Relationship Id="rId62" Type="http://schemas.openxmlformats.org/officeDocument/2006/relationships/hyperlink" Target="mailto:khosarm@unisa.ac.za" TargetMode="External"/><Relationship Id="rId1" Type="http://schemas.openxmlformats.org/officeDocument/2006/relationships/hyperlink" Target="mailto:tnedohe@uj.ac.za" TargetMode="External"/><Relationship Id="rId6" Type="http://schemas.openxmlformats.org/officeDocument/2006/relationships/hyperlink" Target="mailto:knyakurukwa@gmail.com" TargetMode="External"/><Relationship Id="rId15" Type="http://schemas.openxmlformats.org/officeDocument/2006/relationships/hyperlink" Target="mailto:m.maluleka26@gmail.com" TargetMode="External"/><Relationship Id="rId23" Type="http://schemas.openxmlformats.org/officeDocument/2006/relationships/hyperlink" Target="mailto:ejire36@gmail.com" TargetMode="External"/><Relationship Id="rId28" Type="http://schemas.openxmlformats.org/officeDocument/2006/relationships/hyperlink" Target="mailto:juniormokou0@gmail.com" TargetMode="External"/><Relationship Id="rId36" Type="http://schemas.openxmlformats.org/officeDocument/2006/relationships/hyperlink" Target="mailto:diff.nyalungu@gmail.com" TargetMode="External"/><Relationship Id="rId49" Type="http://schemas.openxmlformats.org/officeDocument/2006/relationships/hyperlink" Target="mailto:azizz@unisa.ac.za" TargetMode="External"/><Relationship Id="rId57" Type="http://schemas.openxmlformats.org/officeDocument/2006/relationships/hyperlink" Target="mailto:sinakhompanza@gmail.com" TargetMode="External"/><Relationship Id="rId10" Type="http://schemas.openxmlformats.org/officeDocument/2006/relationships/hyperlink" Target="mailto:lwazim@uj.ac.za" TargetMode="External"/><Relationship Id="rId31" Type="http://schemas.openxmlformats.org/officeDocument/2006/relationships/hyperlink" Target="mailto:echirosj@unisa.ac.za" TargetMode="External"/><Relationship Id="rId44" Type="http://schemas.openxmlformats.org/officeDocument/2006/relationships/hyperlink" Target="mailto:vanans@unisa.ac.za" TargetMode="External"/><Relationship Id="rId52" Type="http://schemas.openxmlformats.org/officeDocument/2006/relationships/hyperlink" Target="mailto:mphidim@uj.ac.za" TargetMode="External"/><Relationship Id="rId60" Type="http://schemas.openxmlformats.org/officeDocument/2006/relationships/hyperlink" Target="mailto:ntoyan@unisa.ac.za" TargetMode="External"/><Relationship Id="rId4" Type="http://schemas.openxmlformats.org/officeDocument/2006/relationships/hyperlink" Target="mailto:anosc@dut.ac.za" TargetMode="External"/><Relationship Id="rId9" Type="http://schemas.openxmlformats.org/officeDocument/2006/relationships/hyperlink" Target="mailto:osumagodswil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F8F-3CFB-44F8-A519-6A52F85166E2}">
  <dimension ref="A1:BF135"/>
  <sheetViews>
    <sheetView tabSelected="1" zoomScale="66" zoomScaleNormal="100" workbookViewId="0">
      <pane xSplit="1" ySplit="3" topLeftCell="B56" activePane="bottomRight" state="frozen"/>
      <selection pane="topRight" activeCell="B1" sqref="B1"/>
      <selection pane="bottomLeft" activeCell="A4" sqref="A4"/>
      <selection pane="bottomRight" activeCell="AG104" sqref="AG104"/>
    </sheetView>
  </sheetViews>
  <sheetFormatPr defaultRowHeight="14.5" x14ac:dyDescent="0.35"/>
  <cols>
    <col min="1" max="1" width="4.6328125" customWidth="1"/>
    <col min="2" max="2" width="32" customWidth="1"/>
    <col min="3" max="3" width="26.453125" customWidth="1"/>
    <col min="4" max="4" width="34.7265625" customWidth="1"/>
    <col min="5" max="5" width="13.7265625" customWidth="1"/>
    <col min="6" max="6" width="29.08984375" customWidth="1"/>
    <col min="7" max="7" width="24" customWidth="1"/>
    <col min="8" max="8" width="17.90625" customWidth="1"/>
    <col min="9" max="9" width="7.7265625" customWidth="1"/>
    <col min="10" max="10" width="7.54296875" customWidth="1"/>
    <col min="11" max="11" width="8.1796875" customWidth="1"/>
    <col min="12" max="12" width="7.6328125" customWidth="1"/>
    <col min="13" max="13" width="7.81640625" customWidth="1"/>
    <col min="14" max="14" width="7.7265625" customWidth="1"/>
    <col min="15" max="15" width="7.81640625" customWidth="1"/>
    <col min="16" max="16" width="7.7265625" customWidth="1"/>
    <col min="17" max="17" width="7.453125" customWidth="1"/>
    <col min="18" max="18" width="8.1796875" customWidth="1"/>
    <col min="19" max="19" width="8.453125" customWidth="1"/>
    <col min="20" max="20" width="6.90625" customWidth="1"/>
    <col min="21" max="23" width="7.453125" customWidth="1"/>
    <col min="24" max="24" width="7.6328125" customWidth="1"/>
    <col min="25" max="26" width="8" customWidth="1"/>
    <col min="27" max="29" width="8.6328125" customWidth="1"/>
    <col min="30" max="31" width="8.54296875" customWidth="1"/>
    <col min="32" max="35" width="8.7265625" style="1"/>
    <col min="41" max="51" width="8.7265625" style="1"/>
    <col min="52" max="57" width="8.7265625" style="2"/>
    <col min="58" max="58" width="17.453125" style="2" customWidth="1"/>
  </cols>
  <sheetData>
    <row r="1" spans="1:58" ht="23.5" x14ac:dyDescent="0.55000000000000004">
      <c r="B1" s="3" t="s">
        <v>637</v>
      </c>
    </row>
    <row r="2" spans="1:58" ht="15" thickBot="1" x14ac:dyDescent="0.4">
      <c r="AL2" s="2"/>
      <c r="AM2" s="2"/>
      <c r="AN2" s="2"/>
      <c r="AO2" s="2"/>
    </row>
    <row r="3" spans="1:58" ht="221.5" customHeight="1" thickTop="1" thickBot="1" x14ac:dyDescent="0.45">
      <c r="A3" s="4"/>
      <c r="B3" s="5" t="s">
        <v>0</v>
      </c>
      <c r="C3" s="5" t="s">
        <v>1</v>
      </c>
      <c r="D3" s="5" t="s">
        <v>9</v>
      </c>
      <c r="E3" s="6" t="s">
        <v>10</v>
      </c>
      <c r="F3" s="6" t="s">
        <v>2</v>
      </c>
      <c r="G3" s="6" t="s">
        <v>16</v>
      </c>
      <c r="H3" s="6" t="s">
        <v>17</v>
      </c>
      <c r="I3" s="31" t="s">
        <v>531</v>
      </c>
      <c r="J3" s="31" t="s">
        <v>532</v>
      </c>
      <c r="K3" s="32" t="s">
        <v>534</v>
      </c>
      <c r="L3" s="32" t="s">
        <v>535</v>
      </c>
      <c r="M3" s="32" t="s">
        <v>536</v>
      </c>
      <c r="N3" s="32" t="s">
        <v>537</v>
      </c>
      <c r="O3" s="32" t="s">
        <v>538</v>
      </c>
      <c r="P3" s="32" t="s">
        <v>539</v>
      </c>
      <c r="Q3" s="32" t="s">
        <v>540</v>
      </c>
      <c r="R3" s="32" t="s">
        <v>541</v>
      </c>
      <c r="S3" s="32" t="s">
        <v>542</v>
      </c>
      <c r="T3" s="32" t="s">
        <v>543</v>
      </c>
      <c r="U3" s="32" t="s">
        <v>544</v>
      </c>
      <c r="V3" s="32" t="s">
        <v>545</v>
      </c>
      <c r="W3" s="32" t="s">
        <v>546</v>
      </c>
      <c r="X3" s="32" t="s">
        <v>547</v>
      </c>
      <c r="Y3" s="44" t="s">
        <v>548</v>
      </c>
      <c r="Z3" s="32" t="s">
        <v>549</v>
      </c>
      <c r="AA3" s="32" t="s">
        <v>550</v>
      </c>
      <c r="AB3" s="32" t="s">
        <v>551</v>
      </c>
      <c r="AC3" s="32" t="s">
        <v>552</v>
      </c>
      <c r="AD3" s="32" t="s">
        <v>553</v>
      </c>
      <c r="AE3" s="32" t="s">
        <v>554</v>
      </c>
      <c r="AF3" s="32" t="s">
        <v>562</v>
      </c>
      <c r="AG3" s="36" t="s">
        <v>555</v>
      </c>
      <c r="AH3" s="32" t="s">
        <v>556</v>
      </c>
      <c r="AI3" s="32" t="s">
        <v>557</v>
      </c>
      <c r="AJ3" s="32" t="s">
        <v>558</v>
      </c>
      <c r="AK3" s="32" t="s">
        <v>559</v>
      </c>
      <c r="AL3" s="32" t="s">
        <v>560</v>
      </c>
      <c r="AM3" s="32" t="s">
        <v>561</v>
      </c>
      <c r="AN3" s="32" t="s">
        <v>563</v>
      </c>
      <c r="AO3" s="32" t="s">
        <v>564</v>
      </c>
      <c r="AP3" s="32" t="s">
        <v>567</v>
      </c>
      <c r="AQ3" s="32" t="s">
        <v>568</v>
      </c>
      <c r="AR3" s="32" t="s">
        <v>569</v>
      </c>
      <c r="AS3" s="32" t="s">
        <v>570</v>
      </c>
      <c r="AT3" s="32" t="s">
        <v>571</v>
      </c>
      <c r="AU3" s="32" t="s">
        <v>572</v>
      </c>
      <c r="AV3" s="32" t="s">
        <v>635</v>
      </c>
      <c r="AW3" s="32" t="s">
        <v>573</v>
      </c>
      <c r="AX3" s="32" t="s">
        <v>574</v>
      </c>
      <c r="AY3" s="32" t="s">
        <v>575</v>
      </c>
      <c r="AZ3" s="32" t="s">
        <v>576</v>
      </c>
      <c r="BA3" s="32" t="s">
        <v>577</v>
      </c>
      <c r="BB3" s="32" t="s">
        <v>578</v>
      </c>
      <c r="BC3" s="32" t="s">
        <v>636</v>
      </c>
      <c r="BD3" s="32" t="s">
        <v>579</v>
      </c>
      <c r="BE3" s="32" t="s">
        <v>587</v>
      </c>
      <c r="BF3" s="32" t="s">
        <v>588</v>
      </c>
    </row>
    <row r="4" spans="1:58" ht="65" thickTop="1" thickBot="1" x14ac:dyDescent="0.45">
      <c r="A4" s="7">
        <f>ROW()-3</f>
        <v>1</v>
      </c>
      <c r="B4" s="7" t="s">
        <v>589</v>
      </c>
      <c r="C4" s="7" t="s">
        <v>15</v>
      </c>
      <c r="D4" s="14" t="s">
        <v>14</v>
      </c>
      <c r="E4" s="7" t="s">
        <v>13</v>
      </c>
      <c r="F4" s="8" t="s">
        <v>12</v>
      </c>
      <c r="G4" s="10" t="b">
        <v>1</v>
      </c>
      <c r="H4" s="10" t="b">
        <v>1</v>
      </c>
      <c r="I4" s="11"/>
      <c r="J4" s="11"/>
      <c r="K4" s="11"/>
      <c r="L4" s="11"/>
      <c r="M4" s="11"/>
      <c r="N4" s="11"/>
      <c r="O4" s="11"/>
      <c r="P4" s="11" t="s">
        <v>533</v>
      </c>
      <c r="Q4" s="11" t="s">
        <v>533</v>
      </c>
      <c r="R4" s="11"/>
      <c r="S4" s="11"/>
      <c r="T4" s="11" t="s">
        <v>533</v>
      </c>
      <c r="U4" s="11"/>
      <c r="V4" s="11"/>
      <c r="W4" s="11"/>
      <c r="X4" s="11" t="s">
        <v>533</v>
      </c>
      <c r="Y4" s="11"/>
      <c r="Z4" s="11"/>
      <c r="AA4" s="11"/>
      <c r="AB4" s="11"/>
      <c r="AC4" s="11"/>
      <c r="AD4" s="11"/>
      <c r="AE4" s="11"/>
      <c r="AF4" s="12"/>
      <c r="AG4" s="12"/>
      <c r="AH4" s="12"/>
      <c r="AI4" s="12"/>
      <c r="AJ4" s="13"/>
      <c r="AK4" s="13"/>
      <c r="AL4" s="11"/>
      <c r="AM4" s="11"/>
      <c r="AN4" s="11"/>
      <c r="AO4" s="11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1"/>
      <c r="BA4" s="11"/>
      <c r="BB4" s="11"/>
      <c r="BC4" s="11"/>
      <c r="BD4" s="11"/>
      <c r="BE4" s="11">
        <f t="shared" ref="BE4:BE32" si="0">COUNTIF(G4:H4,TRUE)/COUNTA(G4:H4)</f>
        <v>1</v>
      </c>
      <c r="BF4" s="11"/>
    </row>
    <row r="5" spans="1:58" ht="49" thickTop="1" thickBot="1" x14ac:dyDescent="0.45">
      <c r="A5" s="7">
        <f t="shared" ref="A5:A56" si="1">ROW()-3</f>
        <v>2</v>
      </c>
      <c r="B5" s="7" t="s">
        <v>590</v>
      </c>
      <c r="C5" s="7" t="s">
        <v>24</v>
      </c>
      <c r="D5" s="14" t="s">
        <v>23</v>
      </c>
      <c r="E5" s="15" t="s">
        <v>22</v>
      </c>
      <c r="F5" s="8" t="s">
        <v>25</v>
      </c>
      <c r="G5" s="10" t="b">
        <v>1</v>
      </c>
      <c r="H5" s="10" t="b">
        <v>1</v>
      </c>
      <c r="I5" s="11"/>
      <c r="J5" s="11"/>
      <c r="K5" s="11" t="s">
        <v>533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2"/>
      <c r="AJ5" s="13"/>
      <c r="AK5" s="13"/>
      <c r="AL5" s="11"/>
      <c r="AM5" s="11"/>
      <c r="AN5" s="11"/>
      <c r="AO5" s="11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1"/>
      <c r="BA5" s="11"/>
      <c r="BB5" s="11"/>
      <c r="BC5" s="11"/>
      <c r="BD5" s="11"/>
      <c r="BE5" s="11">
        <f t="shared" si="0"/>
        <v>1</v>
      </c>
      <c r="BF5" s="11"/>
    </row>
    <row r="6" spans="1:58" ht="97" thickTop="1" thickBot="1" x14ac:dyDescent="0.45">
      <c r="A6" s="7">
        <f t="shared" si="1"/>
        <v>3</v>
      </c>
      <c r="B6" s="7" t="s">
        <v>598</v>
      </c>
      <c r="C6" s="8" t="s">
        <v>29</v>
      </c>
      <c r="D6" s="14" t="s">
        <v>27</v>
      </c>
      <c r="E6" s="7" t="s">
        <v>28</v>
      </c>
      <c r="F6" s="8" t="s">
        <v>30</v>
      </c>
      <c r="G6" s="10" t="b">
        <v>1</v>
      </c>
      <c r="H6" s="10" t="b">
        <v>1</v>
      </c>
      <c r="I6" s="11"/>
      <c r="J6" s="11"/>
      <c r="K6" s="11"/>
      <c r="L6" s="11"/>
      <c r="M6" s="11"/>
      <c r="N6" s="11"/>
      <c r="O6" s="11"/>
      <c r="P6" s="11"/>
      <c r="Q6" s="11" t="s">
        <v>533</v>
      </c>
      <c r="R6" s="11"/>
      <c r="S6" s="11"/>
      <c r="T6" s="11" t="s">
        <v>533</v>
      </c>
      <c r="U6" s="11"/>
      <c r="V6" s="11" t="s">
        <v>533</v>
      </c>
      <c r="W6" s="11"/>
      <c r="X6" s="11" t="s">
        <v>533</v>
      </c>
      <c r="Y6" s="11"/>
      <c r="Z6" s="11"/>
      <c r="AA6" s="11"/>
      <c r="AB6" s="11"/>
      <c r="AC6" s="11"/>
      <c r="AD6" s="11" t="s">
        <v>533</v>
      </c>
      <c r="AE6" s="11"/>
      <c r="AF6" s="11"/>
      <c r="AG6" s="11"/>
      <c r="AH6" s="11"/>
      <c r="AI6" s="12"/>
      <c r="AJ6" s="13"/>
      <c r="AK6" s="13"/>
      <c r="AL6" s="11"/>
      <c r="AM6" s="11"/>
      <c r="AN6" s="11"/>
      <c r="AO6" s="11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1"/>
      <c r="BA6" s="11"/>
      <c r="BB6" s="11"/>
      <c r="BC6" s="11"/>
      <c r="BD6" s="11"/>
      <c r="BE6" s="11">
        <f t="shared" si="0"/>
        <v>1</v>
      </c>
      <c r="BF6" s="11"/>
    </row>
    <row r="7" spans="1:58" ht="81" thickTop="1" thickBot="1" x14ac:dyDescent="0.45">
      <c r="A7" s="7">
        <f t="shared" si="1"/>
        <v>4</v>
      </c>
      <c r="B7" s="17" t="s">
        <v>591</v>
      </c>
      <c r="C7" s="7" t="s">
        <v>35</v>
      </c>
      <c r="D7" s="7" t="s">
        <v>33</v>
      </c>
      <c r="E7" s="8" t="s">
        <v>34</v>
      </c>
      <c r="F7" s="8" t="s">
        <v>32</v>
      </c>
      <c r="G7" s="10" t="b">
        <v>1</v>
      </c>
      <c r="H7" s="10" t="b">
        <v>1</v>
      </c>
      <c r="I7" s="11" t="s">
        <v>533</v>
      </c>
      <c r="J7" s="11"/>
      <c r="K7" s="11"/>
      <c r="L7" s="11"/>
      <c r="M7" s="11"/>
      <c r="N7" s="11"/>
      <c r="O7" s="11" t="s">
        <v>533</v>
      </c>
      <c r="P7" s="11" t="s">
        <v>533</v>
      </c>
      <c r="Q7" s="11"/>
      <c r="R7" s="11"/>
      <c r="S7" s="11"/>
      <c r="T7" s="11" t="s">
        <v>533</v>
      </c>
      <c r="U7" s="11"/>
      <c r="V7" s="11"/>
      <c r="W7" s="11"/>
      <c r="X7" s="11"/>
      <c r="Y7" s="11"/>
      <c r="Z7" s="11"/>
      <c r="AA7" s="11"/>
      <c r="AB7" s="11" t="s">
        <v>533</v>
      </c>
      <c r="AC7" s="11"/>
      <c r="AD7" s="11"/>
      <c r="AE7" s="11"/>
      <c r="AF7" s="11"/>
      <c r="AG7" s="11"/>
      <c r="AH7" s="11"/>
      <c r="AI7" s="12"/>
      <c r="AJ7" s="13"/>
      <c r="AK7" s="13"/>
      <c r="AL7" s="11"/>
      <c r="AM7" s="11"/>
      <c r="AN7" s="11"/>
      <c r="AO7" s="11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1"/>
      <c r="BA7" s="11"/>
      <c r="BB7" s="11"/>
      <c r="BC7" s="11"/>
      <c r="BD7" s="11"/>
      <c r="BE7" s="11">
        <f t="shared" si="0"/>
        <v>1</v>
      </c>
      <c r="BF7" s="11"/>
    </row>
    <row r="8" spans="1:58" ht="49" thickTop="1" thickBot="1" x14ac:dyDescent="0.45">
      <c r="A8" s="37">
        <f t="shared" si="1"/>
        <v>5</v>
      </c>
      <c r="B8" s="38" t="s">
        <v>592</v>
      </c>
      <c r="C8" s="37" t="s">
        <v>39</v>
      </c>
      <c r="D8" s="39" t="s">
        <v>37</v>
      </c>
      <c r="E8" s="40" t="s">
        <v>36</v>
      </c>
      <c r="F8" s="41" t="s">
        <v>38</v>
      </c>
      <c r="G8" s="10" t="b">
        <v>1</v>
      </c>
      <c r="H8" s="10" t="b">
        <v>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 t="s">
        <v>533</v>
      </c>
      <c r="Z8" s="11"/>
      <c r="AA8" s="11"/>
      <c r="AB8" s="11"/>
      <c r="AC8" s="11"/>
      <c r="AD8" s="11"/>
      <c r="AE8" s="11"/>
      <c r="AF8" s="11"/>
      <c r="AG8" s="45" t="s">
        <v>533</v>
      </c>
      <c r="AH8" s="11"/>
      <c r="AI8" s="11" t="s">
        <v>533</v>
      </c>
      <c r="AJ8" s="11"/>
      <c r="AK8" s="11"/>
      <c r="AL8" s="11"/>
      <c r="AM8" s="11"/>
      <c r="AN8" s="11"/>
      <c r="AO8" s="11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1"/>
      <c r="BA8" s="11"/>
      <c r="BB8" s="11"/>
      <c r="BC8" s="11"/>
      <c r="BD8" s="11"/>
      <c r="BE8" s="11">
        <f t="shared" si="0"/>
        <v>1</v>
      </c>
      <c r="BF8" s="11"/>
    </row>
    <row r="9" spans="1:58" ht="65" thickTop="1" thickBot="1" x14ac:dyDescent="0.45">
      <c r="A9" s="7">
        <f t="shared" si="1"/>
        <v>6</v>
      </c>
      <c r="B9" s="7" t="s">
        <v>593</v>
      </c>
      <c r="C9" s="8" t="s">
        <v>50</v>
      </c>
      <c r="D9" s="14" t="s">
        <v>48</v>
      </c>
      <c r="E9" s="19" t="s">
        <v>49</v>
      </c>
      <c r="F9" s="8" t="s">
        <v>47</v>
      </c>
      <c r="G9" s="10" t="b">
        <v>1</v>
      </c>
      <c r="H9" s="10" t="b">
        <v>1</v>
      </c>
      <c r="I9" s="11"/>
      <c r="J9" s="11" t="s">
        <v>533</v>
      </c>
      <c r="K9" s="11" t="s">
        <v>533</v>
      </c>
      <c r="L9" s="11" t="s">
        <v>533</v>
      </c>
      <c r="M9" s="11"/>
      <c r="N9" s="11"/>
      <c r="O9" s="11"/>
      <c r="P9" s="11"/>
      <c r="Q9" s="11"/>
      <c r="R9" s="11"/>
      <c r="S9" s="11"/>
      <c r="T9" s="11"/>
      <c r="U9" s="11"/>
      <c r="V9" s="11" t="s">
        <v>533</v>
      </c>
      <c r="W9" s="11"/>
      <c r="X9" s="11"/>
      <c r="Y9" s="11"/>
      <c r="Z9" s="11"/>
      <c r="AA9" s="11" t="s">
        <v>533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1"/>
      <c r="BA9" s="11"/>
      <c r="BB9" s="11"/>
      <c r="BC9" s="11"/>
      <c r="BD9" s="11"/>
      <c r="BE9" s="11">
        <f t="shared" si="0"/>
        <v>1</v>
      </c>
      <c r="BF9" s="11"/>
    </row>
    <row r="10" spans="1:58" ht="97" thickTop="1" thickBot="1" x14ac:dyDescent="0.45">
      <c r="A10" s="7">
        <f t="shared" si="1"/>
        <v>7</v>
      </c>
      <c r="B10" s="7" t="s">
        <v>631</v>
      </c>
      <c r="C10" s="7" t="s">
        <v>53</v>
      </c>
      <c r="D10" s="16" t="s">
        <v>580</v>
      </c>
      <c r="E10" s="9" t="s">
        <v>51</v>
      </c>
      <c r="F10" s="8" t="s">
        <v>52</v>
      </c>
      <c r="G10" s="10" t="b">
        <v>1</v>
      </c>
      <c r="H10" s="10" t="b">
        <v>1</v>
      </c>
      <c r="I10" s="11"/>
      <c r="J10" s="11"/>
      <c r="K10" s="11"/>
      <c r="L10" s="11"/>
      <c r="M10" s="11"/>
      <c r="N10" s="11"/>
      <c r="O10" s="11" t="s">
        <v>533</v>
      </c>
      <c r="P10" s="11"/>
      <c r="Q10" s="11" t="s">
        <v>533</v>
      </c>
      <c r="R10" s="11"/>
      <c r="S10" s="11"/>
      <c r="T10" s="11" t="s">
        <v>533</v>
      </c>
      <c r="U10" s="11" t="s">
        <v>533</v>
      </c>
      <c r="V10" s="11"/>
      <c r="W10" s="11"/>
      <c r="X10" s="11" t="s">
        <v>533</v>
      </c>
      <c r="Y10" s="11"/>
      <c r="Z10" s="11"/>
      <c r="AA10" s="11"/>
      <c r="AB10" s="11"/>
      <c r="AC10" s="11"/>
      <c r="AD10" s="11" t="s">
        <v>533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1"/>
      <c r="BA10" s="11"/>
      <c r="BB10" s="11"/>
      <c r="BC10" s="11"/>
      <c r="BD10" s="11"/>
      <c r="BE10" s="11">
        <f t="shared" si="0"/>
        <v>1</v>
      </c>
      <c r="BF10" s="11"/>
    </row>
    <row r="11" spans="1:58" ht="145" thickTop="1" thickBot="1" x14ac:dyDescent="0.45">
      <c r="A11" s="7">
        <f t="shared" si="1"/>
        <v>8</v>
      </c>
      <c r="B11" s="7" t="s">
        <v>58</v>
      </c>
      <c r="C11" s="7"/>
      <c r="D11" s="16" t="s">
        <v>60</v>
      </c>
      <c r="E11" s="9" t="s">
        <v>59</v>
      </c>
      <c r="F11" s="20" t="s">
        <v>61</v>
      </c>
      <c r="G11" s="10" t="b">
        <v>1</v>
      </c>
      <c r="H11" s="10" t="b">
        <v>1</v>
      </c>
      <c r="I11" s="11"/>
      <c r="J11" s="11"/>
      <c r="K11" s="11"/>
      <c r="L11" s="11"/>
      <c r="M11" s="11"/>
      <c r="N11" s="11"/>
      <c r="O11" s="11" t="s">
        <v>533</v>
      </c>
      <c r="P11" s="11"/>
      <c r="Q11" s="11" t="s">
        <v>533</v>
      </c>
      <c r="R11" s="11"/>
      <c r="S11" s="11"/>
      <c r="T11" s="11" t="s">
        <v>533</v>
      </c>
      <c r="U11" s="11" t="s">
        <v>533</v>
      </c>
      <c r="V11" s="11" t="s">
        <v>533</v>
      </c>
      <c r="W11" s="11"/>
      <c r="X11" s="11" t="s">
        <v>533</v>
      </c>
      <c r="Y11" s="11"/>
      <c r="Z11" s="11" t="s">
        <v>533</v>
      </c>
      <c r="AA11" s="11"/>
      <c r="AB11" s="11"/>
      <c r="AC11" s="11"/>
      <c r="AD11" s="11"/>
      <c r="AE11" s="11" t="s">
        <v>533</v>
      </c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1"/>
      <c r="BA11" s="11"/>
      <c r="BB11" s="11"/>
      <c r="BC11" s="11"/>
      <c r="BD11" s="11"/>
      <c r="BE11" s="11">
        <f t="shared" si="0"/>
        <v>1</v>
      </c>
      <c r="BF11" s="11"/>
    </row>
    <row r="12" spans="1:58" ht="65" thickTop="1" thickBot="1" x14ac:dyDescent="0.45">
      <c r="A12" s="7">
        <f t="shared" si="1"/>
        <v>9</v>
      </c>
      <c r="B12" s="8" t="s">
        <v>599</v>
      </c>
      <c r="C12" s="8" t="s">
        <v>62</v>
      </c>
      <c r="D12" s="8" t="s">
        <v>63</v>
      </c>
      <c r="E12" s="19" t="s">
        <v>64</v>
      </c>
      <c r="F12" s="20" t="s">
        <v>65</v>
      </c>
      <c r="G12" s="10" t="b">
        <v>1</v>
      </c>
      <c r="H12" s="10" t="b">
        <v>1</v>
      </c>
      <c r="I12" s="11" t="s">
        <v>533</v>
      </c>
      <c r="J12" s="11" t="s">
        <v>533</v>
      </c>
      <c r="K12" s="11" t="s">
        <v>533</v>
      </c>
      <c r="L12" s="11"/>
      <c r="M12" s="11"/>
      <c r="N12" s="11" t="s">
        <v>533</v>
      </c>
      <c r="O12" s="11"/>
      <c r="P12" s="11"/>
      <c r="Q12" s="11"/>
      <c r="R12" s="11" t="s">
        <v>533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1"/>
      <c r="BA12" s="11"/>
      <c r="BB12" s="11"/>
      <c r="BC12" s="11"/>
      <c r="BD12" s="11"/>
      <c r="BE12" s="11">
        <f t="shared" si="0"/>
        <v>1</v>
      </c>
      <c r="BF12" s="11"/>
    </row>
    <row r="13" spans="1:58" ht="81" thickTop="1" thickBot="1" x14ac:dyDescent="0.45">
      <c r="A13" s="7">
        <f t="shared" si="1"/>
        <v>10</v>
      </c>
      <c r="B13" s="7" t="s">
        <v>594</v>
      </c>
      <c r="C13" s="7" t="s">
        <v>72</v>
      </c>
      <c r="D13" s="21" t="s">
        <v>71</v>
      </c>
      <c r="E13" s="19" t="s">
        <v>75</v>
      </c>
      <c r="F13" s="20" t="s">
        <v>70</v>
      </c>
      <c r="G13" s="10" t="b">
        <v>1</v>
      </c>
      <c r="H13" s="10" t="b">
        <v>1</v>
      </c>
      <c r="I13" s="11"/>
      <c r="J13" s="11"/>
      <c r="K13" s="11"/>
      <c r="L13" s="11" t="s">
        <v>533</v>
      </c>
      <c r="M13" s="11"/>
      <c r="N13" s="11"/>
      <c r="O13" s="11"/>
      <c r="P13" s="11"/>
      <c r="Q13" s="11"/>
      <c r="R13" s="11"/>
      <c r="S13" s="11"/>
      <c r="T13" s="11"/>
      <c r="U13" s="11" t="s">
        <v>533</v>
      </c>
      <c r="V13" s="11" t="s">
        <v>533</v>
      </c>
      <c r="W13" s="11"/>
      <c r="X13" s="11"/>
      <c r="Y13" s="11"/>
      <c r="Z13" s="11"/>
      <c r="AA13" s="11" t="s">
        <v>533</v>
      </c>
      <c r="AB13" s="11"/>
      <c r="AC13" s="11"/>
      <c r="AD13" s="11"/>
      <c r="AE13" s="11" t="s">
        <v>533</v>
      </c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1"/>
      <c r="BA13" s="11"/>
      <c r="BB13" s="11"/>
      <c r="BC13" s="11"/>
      <c r="BD13" s="11"/>
      <c r="BE13" s="11">
        <f t="shared" si="0"/>
        <v>1</v>
      </c>
      <c r="BF13" s="11"/>
    </row>
    <row r="14" spans="1:58" ht="49" thickTop="1" thickBot="1" x14ac:dyDescent="0.45">
      <c r="A14" s="7">
        <f t="shared" si="1"/>
        <v>11</v>
      </c>
      <c r="B14" s="7" t="s">
        <v>595</v>
      </c>
      <c r="C14" s="7" t="s">
        <v>72</v>
      </c>
      <c r="D14" s="21" t="s">
        <v>73</v>
      </c>
      <c r="E14" s="9" t="s">
        <v>76</v>
      </c>
      <c r="F14" s="20" t="s">
        <v>74</v>
      </c>
      <c r="G14" s="10" t="b">
        <v>1</v>
      </c>
      <c r="H14" s="10" t="b">
        <v>1</v>
      </c>
      <c r="I14" s="11" t="s">
        <v>533</v>
      </c>
      <c r="J14" s="11" t="s">
        <v>533</v>
      </c>
      <c r="K14" s="11" t="s">
        <v>533</v>
      </c>
      <c r="L14" s="11"/>
      <c r="M14" s="11"/>
      <c r="N14" s="11" t="s">
        <v>533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1"/>
      <c r="BA14" s="11"/>
      <c r="BB14" s="11"/>
      <c r="BC14" s="11"/>
      <c r="BD14" s="11"/>
      <c r="BE14" s="11">
        <f t="shared" si="0"/>
        <v>1</v>
      </c>
      <c r="BF14" s="11"/>
    </row>
    <row r="15" spans="1:58" ht="97" thickTop="1" thickBot="1" x14ac:dyDescent="0.45">
      <c r="A15" s="7">
        <f t="shared" si="1"/>
        <v>12</v>
      </c>
      <c r="B15" s="7" t="s">
        <v>596</v>
      </c>
      <c r="C15" s="7" t="s">
        <v>72</v>
      </c>
      <c r="D15" s="14" t="s">
        <v>78</v>
      </c>
      <c r="E15" s="19" t="s">
        <v>77</v>
      </c>
      <c r="F15" s="20" t="s">
        <v>79</v>
      </c>
      <c r="G15" s="10" t="b">
        <v>1</v>
      </c>
      <c r="H15" s="10" t="b">
        <v>1</v>
      </c>
      <c r="I15" s="11"/>
      <c r="J15" s="11"/>
      <c r="K15" s="11"/>
      <c r="L15" s="11"/>
      <c r="M15" s="11"/>
      <c r="N15" s="11"/>
      <c r="O15" s="11"/>
      <c r="P15" s="11" t="s">
        <v>533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 t="s">
        <v>533</v>
      </c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 t="s">
        <v>533</v>
      </c>
      <c r="AQ15" s="12"/>
      <c r="AR15" s="12"/>
      <c r="AS15" s="11" t="s">
        <v>533</v>
      </c>
      <c r="AT15" s="12"/>
      <c r="AU15" s="12"/>
      <c r="AV15" s="12"/>
      <c r="AW15" s="12"/>
      <c r="AX15" s="12"/>
      <c r="AY15" s="12"/>
      <c r="AZ15" s="11"/>
      <c r="BA15" s="11"/>
      <c r="BB15" s="11"/>
      <c r="BC15" s="11"/>
      <c r="BD15" s="11"/>
      <c r="BE15" s="11">
        <f t="shared" si="0"/>
        <v>1</v>
      </c>
      <c r="BF15" s="11"/>
    </row>
    <row r="16" spans="1:58" ht="129" thickTop="1" thickBot="1" x14ac:dyDescent="0.45">
      <c r="A16" s="7">
        <f t="shared" si="1"/>
        <v>13</v>
      </c>
      <c r="B16" s="18" t="s">
        <v>597</v>
      </c>
      <c r="C16" s="7" t="s">
        <v>82</v>
      </c>
      <c r="D16" s="14" t="s">
        <v>83</v>
      </c>
      <c r="E16" s="18" t="s">
        <v>81</v>
      </c>
      <c r="F16" s="20" t="s">
        <v>80</v>
      </c>
      <c r="G16" s="10" t="b">
        <v>1</v>
      </c>
      <c r="H16" s="10" t="b">
        <v>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 t="s">
        <v>533</v>
      </c>
      <c r="U16" s="11"/>
      <c r="V16" s="11" t="s">
        <v>533</v>
      </c>
      <c r="W16" s="11" t="s">
        <v>533</v>
      </c>
      <c r="X16" s="11" t="s">
        <v>533</v>
      </c>
      <c r="Y16" s="11"/>
      <c r="Z16" s="11"/>
      <c r="AA16" s="11" t="s">
        <v>533</v>
      </c>
      <c r="AB16" s="11" t="s">
        <v>533</v>
      </c>
      <c r="AC16" s="11"/>
      <c r="AD16" s="11" t="s">
        <v>533</v>
      </c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1"/>
      <c r="BA16" s="11"/>
      <c r="BB16" s="11"/>
      <c r="BC16" s="11"/>
      <c r="BD16" s="11"/>
      <c r="BE16" s="11">
        <f t="shared" si="0"/>
        <v>1</v>
      </c>
      <c r="BF16" s="11"/>
    </row>
    <row r="17" spans="1:58" ht="129" thickTop="1" thickBot="1" x14ac:dyDescent="0.45">
      <c r="A17" s="7">
        <f t="shared" si="1"/>
        <v>14</v>
      </c>
      <c r="B17" s="8" t="s">
        <v>632</v>
      </c>
      <c r="C17" s="8" t="s">
        <v>87</v>
      </c>
      <c r="D17" s="22" t="s">
        <v>86</v>
      </c>
      <c r="E17" s="7" t="s">
        <v>85</v>
      </c>
      <c r="F17" s="20" t="s">
        <v>84</v>
      </c>
      <c r="G17" s="10" t="b">
        <v>1</v>
      </c>
      <c r="H17" s="10" t="b">
        <v>1</v>
      </c>
      <c r="I17" s="11"/>
      <c r="J17" s="11"/>
      <c r="K17" s="11"/>
      <c r="L17" s="11" t="s">
        <v>533</v>
      </c>
      <c r="M17" s="11"/>
      <c r="N17" s="11"/>
      <c r="O17" s="11"/>
      <c r="P17" s="11"/>
      <c r="Q17" s="11"/>
      <c r="R17" s="11" t="s">
        <v>533</v>
      </c>
      <c r="S17" s="11"/>
      <c r="T17" s="11"/>
      <c r="U17" s="11" t="s">
        <v>533</v>
      </c>
      <c r="V17" s="11" t="s">
        <v>533</v>
      </c>
      <c r="W17" s="11" t="s">
        <v>533</v>
      </c>
      <c r="X17" s="11"/>
      <c r="Y17" s="11" t="s">
        <v>533</v>
      </c>
      <c r="Z17" s="11" t="s">
        <v>533</v>
      </c>
      <c r="AA17" s="11"/>
      <c r="AB17" s="11"/>
      <c r="AC17" s="11"/>
      <c r="AD17" s="11" t="s">
        <v>533</v>
      </c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1"/>
      <c r="BA17" s="11"/>
      <c r="BB17" s="11"/>
      <c r="BC17" s="11"/>
      <c r="BD17" s="11"/>
      <c r="BE17" s="11">
        <f t="shared" si="0"/>
        <v>1</v>
      </c>
      <c r="BF17" s="11"/>
    </row>
    <row r="18" spans="1:58" ht="65" thickTop="1" thickBot="1" x14ac:dyDescent="0.45">
      <c r="A18" s="7">
        <f t="shared" si="1"/>
        <v>15</v>
      </c>
      <c r="B18" s="7" t="s">
        <v>88</v>
      </c>
      <c r="C18" s="8" t="s">
        <v>90</v>
      </c>
      <c r="D18" s="7"/>
      <c r="E18" s="7" t="s">
        <v>89</v>
      </c>
      <c r="F18" s="20" t="s">
        <v>91</v>
      </c>
      <c r="G18" s="10" t="b">
        <v>1</v>
      </c>
      <c r="H18" s="10" t="b">
        <v>1</v>
      </c>
      <c r="I18" s="11" t="s">
        <v>533</v>
      </c>
      <c r="J18" s="11"/>
      <c r="K18" s="11"/>
      <c r="L18" s="11"/>
      <c r="M18" s="11"/>
      <c r="N18" s="11"/>
      <c r="O18" s="11"/>
      <c r="P18" s="11" t="s">
        <v>533</v>
      </c>
      <c r="Q18" s="11"/>
      <c r="R18" s="11" t="s">
        <v>533</v>
      </c>
      <c r="S18" s="11"/>
      <c r="T18" s="11" t="s">
        <v>533</v>
      </c>
      <c r="U18" s="11"/>
      <c r="V18" s="11" t="s">
        <v>533</v>
      </c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1"/>
      <c r="BA18" s="11"/>
      <c r="BB18" s="11"/>
      <c r="BC18" s="11"/>
      <c r="BD18" s="11"/>
      <c r="BE18" s="11">
        <f t="shared" si="0"/>
        <v>1</v>
      </c>
      <c r="BF18" s="11"/>
    </row>
    <row r="19" spans="1:58" ht="97" thickTop="1" thickBot="1" x14ac:dyDescent="0.45">
      <c r="A19" s="7">
        <f t="shared" si="1"/>
        <v>16</v>
      </c>
      <c r="B19" s="7" t="s">
        <v>92</v>
      </c>
      <c r="C19" s="8" t="s">
        <v>95</v>
      </c>
      <c r="D19" s="8" t="s">
        <v>94</v>
      </c>
      <c r="E19" s="7"/>
      <c r="F19" s="20" t="s">
        <v>93</v>
      </c>
      <c r="G19" s="10" t="b">
        <v>1</v>
      </c>
      <c r="H19" s="10" t="b">
        <v>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 t="s">
        <v>533</v>
      </c>
      <c r="U19" s="11" t="s">
        <v>533</v>
      </c>
      <c r="V19" s="11"/>
      <c r="W19" s="11"/>
      <c r="X19" s="11" t="s">
        <v>533</v>
      </c>
      <c r="Y19" s="11"/>
      <c r="Z19" s="11"/>
      <c r="AA19" s="11"/>
      <c r="AB19" s="11"/>
      <c r="AC19" s="11"/>
      <c r="AD19" s="11" t="s">
        <v>533</v>
      </c>
      <c r="AE19" s="11" t="s">
        <v>533</v>
      </c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1"/>
      <c r="BA19" s="11"/>
      <c r="BB19" s="11"/>
      <c r="BC19" s="11"/>
      <c r="BD19" s="11"/>
      <c r="BE19" s="11">
        <f t="shared" si="0"/>
        <v>1</v>
      </c>
      <c r="BF19" s="11"/>
    </row>
    <row r="20" spans="1:58" ht="65" thickTop="1" thickBot="1" x14ac:dyDescent="0.45">
      <c r="A20" s="7">
        <f t="shared" si="1"/>
        <v>17</v>
      </c>
      <c r="B20" s="7" t="s">
        <v>96</v>
      </c>
      <c r="C20" s="8" t="s">
        <v>98</v>
      </c>
      <c r="D20" s="14" t="s">
        <v>97</v>
      </c>
      <c r="E20" s="19" t="s">
        <v>102</v>
      </c>
      <c r="F20" s="20" t="s">
        <v>581</v>
      </c>
      <c r="G20" s="10" t="b">
        <v>1</v>
      </c>
      <c r="H20" s="10" t="b">
        <v>1</v>
      </c>
      <c r="I20" s="11"/>
      <c r="J20" s="11"/>
      <c r="K20" s="11"/>
      <c r="L20" s="11"/>
      <c r="M20" s="11"/>
      <c r="N20" s="11"/>
      <c r="O20" s="11"/>
      <c r="P20" s="11"/>
      <c r="Q20" s="11" t="s">
        <v>533</v>
      </c>
      <c r="R20" s="11"/>
      <c r="S20" s="11"/>
      <c r="T20" s="11"/>
      <c r="U20" s="11"/>
      <c r="V20" s="11" t="s">
        <v>533</v>
      </c>
      <c r="W20" s="11"/>
      <c r="X20" s="11" t="s">
        <v>533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1"/>
      <c r="BA20" s="11"/>
      <c r="BB20" s="11"/>
      <c r="BC20" s="11"/>
      <c r="BD20" s="11"/>
      <c r="BE20" s="11">
        <f t="shared" si="0"/>
        <v>1</v>
      </c>
      <c r="BF20" s="11"/>
    </row>
    <row r="21" spans="1:58" ht="81" thickTop="1" thickBot="1" x14ac:dyDescent="0.45">
      <c r="A21" s="7">
        <f t="shared" si="1"/>
        <v>18</v>
      </c>
      <c r="B21" s="7" t="s">
        <v>99</v>
      </c>
      <c r="C21" s="7" t="s">
        <v>104</v>
      </c>
      <c r="D21" s="14" t="s">
        <v>103</v>
      </c>
      <c r="E21" s="19" t="s">
        <v>101</v>
      </c>
      <c r="F21" s="20" t="s">
        <v>100</v>
      </c>
      <c r="G21" s="10" t="b">
        <v>1</v>
      </c>
      <c r="H21" s="10" t="b">
        <v>1</v>
      </c>
      <c r="I21" s="11"/>
      <c r="J21" s="11" t="s">
        <v>533</v>
      </c>
      <c r="K21" s="11" t="s">
        <v>533</v>
      </c>
      <c r="L21" s="11" t="s">
        <v>533</v>
      </c>
      <c r="M21" s="11" t="s">
        <v>533</v>
      </c>
      <c r="N21" s="11"/>
      <c r="O21" s="11" t="s">
        <v>533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 t="s">
        <v>533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2"/>
      <c r="AQ21" s="12"/>
      <c r="AR21" s="11" t="s">
        <v>533</v>
      </c>
      <c r="AS21" s="12"/>
      <c r="AT21" s="12"/>
      <c r="AU21" s="12"/>
      <c r="AV21" s="12"/>
      <c r="AW21" s="12"/>
      <c r="AX21" s="12"/>
      <c r="AY21" s="12"/>
      <c r="AZ21" s="11"/>
      <c r="BA21" s="11"/>
      <c r="BB21" s="11"/>
      <c r="BC21" s="11"/>
      <c r="BD21" s="11"/>
      <c r="BE21" s="11">
        <f t="shared" si="0"/>
        <v>1</v>
      </c>
      <c r="BF21" s="11"/>
    </row>
    <row r="22" spans="1:58" ht="49" thickTop="1" thickBot="1" x14ac:dyDescent="0.45">
      <c r="A22" s="7">
        <f t="shared" si="1"/>
        <v>19</v>
      </c>
      <c r="B22" s="7" t="s">
        <v>106</v>
      </c>
      <c r="C22" s="8" t="s">
        <v>105</v>
      </c>
      <c r="D22" s="7" t="s">
        <v>107</v>
      </c>
      <c r="E22" s="35" t="s">
        <v>634</v>
      </c>
      <c r="F22" s="8" t="s">
        <v>108</v>
      </c>
      <c r="G22" s="10" t="b">
        <v>1</v>
      </c>
      <c r="H22" s="10" t="b">
        <v>1</v>
      </c>
      <c r="I22" s="11"/>
      <c r="J22" s="11"/>
      <c r="K22" s="11" t="s">
        <v>533</v>
      </c>
      <c r="L22" s="11"/>
      <c r="M22" s="11"/>
      <c r="N22" s="11"/>
      <c r="O22" s="11"/>
      <c r="P22" s="11"/>
      <c r="Q22" s="11"/>
      <c r="R22" s="11"/>
      <c r="S22" s="11" t="s">
        <v>533</v>
      </c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2"/>
      <c r="AQ22" s="12"/>
      <c r="AR22" s="12"/>
      <c r="AS22" s="12"/>
      <c r="AT22" s="11" t="s">
        <v>565</v>
      </c>
      <c r="AU22" s="12"/>
      <c r="AV22" s="12"/>
      <c r="AW22" s="12"/>
      <c r="AX22" s="12"/>
      <c r="AY22" s="12"/>
      <c r="AZ22" s="11"/>
      <c r="BA22" s="11"/>
      <c r="BB22" s="11"/>
      <c r="BC22" s="11"/>
      <c r="BD22" s="11"/>
      <c r="BE22" s="11">
        <f t="shared" si="0"/>
        <v>1</v>
      </c>
      <c r="BF22" s="11"/>
    </row>
    <row r="23" spans="1:58" ht="81" thickTop="1" thickBot="1" x14ac:dyDescent="0.45">
      <c r="A23" s="7">
        <f t="shared" si="1"/>
        <v>20</v>
      </c>
      <c r="B23" s="7" t="s">
        <v>109</v>
      </c>
      <c r="C23" s="7" t="s">
        <v>111</v>
      </c>
      <c r="D23" s="7" t="s">
        <v>110</v>
      </c>
      <c r="E23" s="7"/>
      <c r="F23" s="8" t="s">
        <v>112</v>
      </c>
      <c r="G23" s="10" t="b">
        <v>1</v>
      </c>
      <c r="H23" s="10" t="b">
        <v>1</v>
      </c>
      <c r="I23" s="11"/>
      <c r="J23" s="11"/>
      <c r="K23" s="11"/>
      <c r="L23" s="11"/>
      <c r="M23" s="11"/>
      <c r="N23" s="11"/>
      <c r="O23" s="11" t="s">
        <v>533</v>
      </c>
      <c r="P23" s="11"/>
      <c r="Q23" s="11" t="s">
        <v>533</v>
      </c>
      <c r="R23" s="11"/>
      <c r="S23" s="11"/>
      <c r="T23" s="11"/>
      <c r="U23" s="11"/>
      <c r="V23" s="11" t="s">
        <v>533</v>
      </c>
      <c r="W23" s="11"/>
      <c r="X23" s="11" t="s">
        <v>533</v>
      </c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1"/>
      <c r="BA23" s="11"/>
      <c r="BB23" s="11"/>
      <c r="BC23" s="11"/>
      <c r="BD23" s="11"/>
      <c r="BE23" s="11">
        <f t="shared" si="0"/>
        <v>1</v>
      </c>
      <c r="BF23" s="11"/>
    </row>
    <row r="24" spans="1:58" ht="81" thickTop="1" thickBot="1" x14ac:dyDescent="0.45">
      <c r="A24" s="7">
        <f t="shared" si="1"/>
        <v>21</v>
      </c>
      <c r="B24" s="7" t="s">
        <v>114</v>
      </c>
      <c r="C24" s="8" t="s">
        <v>117</v>
      </c>
      <c r="D24" s="8" t="s">
        <v>115</v>
      </c>
      <c r="E24" s="19" t="s">
        <v>116</v>
      </c>
      <c r="F24" s="8" t="s">
        <v>113</v>
      </c>
      <c r="G24" s="10" t="b">
        <v>1</v>
      </c>
      <c r="H24" s="10" t="b">
        <v>1</v>
      </c>
      <c r="I24" s="11" t="s">
        <v>533</v>
      </c>
      <c r="J24" s="11"/>
      <c r="K24" s="11" t="s">
        <v>533</v>
      </c>
      <c r="L24" s="11"/>
      <c r="M24" s="11"/>
      <c r="N24" s="11"/>
      <c r="O24" s="11"/>
      <c r="P24" s="11"/>
      <c r="Q24" s="11"/>
      <c r="R24" s="11"/>
      <c r="S24" s="11" t="s">
        <v>533</v>
      </c>
      <c r="T24" s="11"/>
      <c r="U24" s="11" t="s">
        <v>533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1"/>
      <c r="BA24" s="11"/>
      <c r="BB24" s="11"/>
      <c r="BC24" s="11"/>
      <c r="BD24" s="11"/>
      <c r="BE24" s="11">
        <f t="shared" si="0"/>
        <v>1</v>
      </c>
      <c r="BF24" s="11"/>
    </row>
    <row r="25" spans="1:58" ht="49" thickTop="1" thickBot="1" x14ac:dyDescent="0.45">
      <c r="A25" s="7">
        <f t="shared" si="1"/>
        <v>22</v>
      </c>
      <c r="B25" s="7" t="s">
        <v>629</v>
      </c>
      <c r="C25" s="7" t="s">
        <v>120</v>
      </c>
      <c r="D25" s="7" t="s">
        <v>119</v>
      </c>
      <c r="E25" s="7" t="s">
        <v>118</v>
      </c>
      <c r="F25" s="8" t="s">
        <v>121</v>
      </c>
      <c r="G25" s="10" t="b">
        <v>1</v>
      </c>
      <c r="H25" s="10" t="b">
        <v>1</v>
      </c>
      <c r="I25" s="11"/>
      <c r="J25" s="11"/>
      <c r="K25" s="11"/>
      <c r="L25" s="11"/>
      <c r="M25" s="11"/>
      <c r="N25" s="11"/>
      <c r="O25" s="11"/>
      <c r="P25" s="11" t="s">
        <v>533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2"/>
      <c r="AQ25" s="12"/>
      <c r="AR25" s="12"/>
      <c r="AS25" s="12"/>
      <c r="AT25" s="12"/>
      <c r="AU25" s="12"/>
      <c r="AV25" s="12"/>
      <c r="AW25" s="12"/>
      <c r="AX25" s="11" t="s">
        <v>533</v>
      </c>
      <c r="AY25" s="12"/>
      <c r="AZ25" s="11"/>
      <c r="BA25" s="11"/>
      <c r="BB25" s="11"/>
      <c r="BC25" s="11"/>
      <c r="BD25" s="11"/>
      <c r="BE25" s="11">
        <f t="shared" si="0"/>
        <v>1</v>
      </c>
      <c r="BF25" s="11"/>
    </row>
    <row r="26" spans="1:58" ht="129" thickTop="1" thickBot="1" x14ac:dyDescent="0.45">
      <c r="A26" s="7">
        <f t="shared" si="1"/>
        <v>23</v>
      </c>
      <c r="B26" s="7" t="s">
        <v>122</v>
      </c>
      <c r="C26" s="7" t="s">
        <v>72</v>
      </c>
      <c r="D26" s="16" t="s">
        <v>125</v>
      </c>
      <c r="E26" s="23" t="s">
        <v>124</v>
      </c>
      <c r="F26" s="8" t="s">
        <v>123</v>
      </c>
      <c r="G26" s="10" t="b">
        <v>1</v>
      </c>
      <c r="H26" s="10" t="b">
        <v>1</v>
      </c>
      <c r="I26" s="11" t="s">
        <v>533</v>
      </c>
      <c r="J26" s="11" t="s">
        <v>533</v>
      </c>
      <c r="K26" s="11" t="s">
        <v>533</v>
      </c>
      <c r="L26" s="11"/>
      <c r="M26" s="11"/>
      <c r="N26" s="11"/>
      <c r="O26" s="11"/>
      <c r="P26" s="11"/>
      <c r="Q26" s="11"/>
      <c r="R26" s="11" t="s">
        <v>533</v>
      </c>
      <c r="S26" s="11" t="s">
        <v>533</v>
      </c>
      <c r="T26" s="11"/>
      <c r="U26" s="11"/>
      <c r="V26" s="11"/>
      <c r="W26" s="11" t="s">
        <v>533</v>
      </c>
      <c r="X26" s="11"/>
      <c r="Y26" s="11"/>
      <c r="Z26" s="11"/>
      <c r="AA26" s="11"/>
      <c r="AB26" s="11" t="s">
        <v>533</v>
      </c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1"/>
      <c r="BA26" s="11"/>
      <c r="BB26" s="11"/>
      <c r="BC26" s="11"/>
      <c r="BD26" s="11"/>
      <c r="BE26" s="11">
        <f t="shared" si="0"/>
        <v>1</v>
      </c>
      <c r="BF26" s="11"/>
    </row>
    <row r="27" spans="1:58" ht="65" thickTop="1" thickBot="1" x14ac:dyDescent="0.45">
      <c r="A27" s="7">
        <f t="shared" si="1"/>
        <v>24</v>
      </c>
      <c r="B27" s="18" t="s">
        <v>126</v>
      </c>
      <c r="C27" s="8" t="s">
        <v>31</v>
      </c>
      <c r="D27" s="16" t="s">
        <v>128</v>
      </c>
      <c r="E27" s="24" t="s">
        <v>127</v>
      </c>
      <c r="F27" s="8" t="s">
        <v>129</v>
      </c>
      <c r="G27" s="10" t="b">
        <v>1</v>
      </c>
      <c r="H27" s="10" t="b">
        <v>1</v>
      </c>
      <c r="I27" s="11"/>
      <c r="J27" s="11"/>
      <c r="K27" s="11"/>
      <c r="L27" s="11" t="s">
        <v>533</v>
      </c>
      <c r="M27" s="11" t="s">
        <v>533</v>
      </c>
      <c r="N27" s="11"/>
      <c r="O27" s="11"/>
      <c r="P27" s="11" t="s">
        <v>533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1"/>
      <c r="BA27" s="11"/>
      <c r="BB27" s="11"/>
      <c r="BC27" s="11"/>
      <c r="BD27" s="11"/>
      <c r="BE27" s="11">
        <f t="shared" si="0"/>
        <v>1</v>
      </c>
      <c r="BF27" s="11"/>
    </row>
    <row r="28" spans="1:58" ht="161" thickTop="1" thickBot="1" x14ac:dyDescent="0.45">
      <c r="A28" s="7">
        <f t="shared" si="1"/>
        <v>25</v>
      </c>
      <c r="B28" s="7" t="s">
        <v>130</v>
      </c>
      <c r="C28" s="8" t="s">
        <v>134</v>
      </c>
      <c r="D28" s="7" t="s">
        <v>133</v>
      </c>
      <c r="E28" s="24" t="s">
        <v>132</v>
      </c>
      <c r="F28" s="8" t="s">
        <v>131</v>
      </c>
      <c r="G28" s="10" t="b">
        <v>1</v>
      </c>
      <c r="H28" s="10" t="b">
        <v>1</v>
      </c>
      <c r="I28" s="11" t="s">
        <v>533</v>
      </c>
      <c r="J28" s="11"/>
      <c r="K28" s="11"/>
      <c r="L28" s="11" t="s">
        <v>533</v>
      </c>
      <c r="M28" s="11" t="s">
        <v>533</v>
      </c>
      <c r="N28" s="11" t="s">
        <v>533</v>
      </c>
      <c r="O28" s="11"/>
      <c r="P28" s="11"/>
      <c r="Q28" s="11"/>
      <c r="R28" s="11"/>
      <c r="S28" s="11" t="s">
        <v>533</v>
      </c>
      <c r="T28" s="11"/>
      <c r="U28" s="11"/>
      <c r="V28" s="11"/>
      <c r="W28" s="11" t="s">
        <v>533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1"/>
      <c r="BA28" s="11"/>
      <c r="BB28" s="11"/>
      <c r="BC28" s="11"/>
      <c r="BD28" s="11"/>
      <c r="BE28" s="11">
        <f t="shared" si="0"/>
        <v>1</v>
      </c>
      <c r="BF28" s="11"/>
    </row>
    <row r="29" spans="1:58" ht="81" thickTop="1" thickBot="1" x14ac:dyDescent="0.45">
      <c r="A29" s="7">
        <f t="shared" si="1"/>
        <v>26</v>
      </c>
      <c r="B29" s="8" t="s">
        <v>135</v>
      </c>
      <c r="C29" s="8" t="s">
        <v>62</v>
      </c>
      <c r="D29" s="14" t="s">
        <v>136</v>
      </c>
      <c r="E29" s="19" t="s">
        <v>140</v>
      </c>
      <c r="F29" s="25" t="s">
        <v>137</v>
      </c>
      <c r="G29" s="10" t="b">
        <v>1</v>
      </c>
      <c r="H29" s="10" t="b">
        <v>1</v>
      </c>
      <c r="I29" s="11" t="s">
        <v>533</v>
      </c>
      <c r="J29" s="11" t="s">
        <v>533</v>
      </c>
      <c r="K29" s="11" t="s">
        <v>533</v>
      </c>
      <c r="L29" s="11"/>
      <c r="M29" s="11" t="s">
        <v>533</v>
      </c>
      <c r="N29" s="11"/>
      <c r="O29" s="11"/>
      <c r="P29" s="11"/>
      <c r="Q29" s="11"/>
      <c r="R29" s="11"/>
      <c r="S29" s="11"/>
      <c r="T29" s="11"/>
      <c r="U29" s="11"/>
      <c r="V29" s="11"/>
      <c r="W29" s="11" t="s">
        <v>533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1"/>
      <c r="BA29" s="11"/>
      <c r="BB29" s="11"/>
      <c r="BC29" s="11"/>
      <c r="BD29" s="11"/>
      <c r="BE29" s="11">
        <f t="shared" si="0"/>
        <v>1</v>
      </c>
      <c r="BF29" s="11"/>
    </row>
    <row r="30" spans="1:58" ht="65" thickTop="1" thickBot="1" x14ac:dyDescent="0.45">
      <c r="A30" s="7">
        <f t="shared" si="1"/>
        <v>27</v>
      </c>
      <c r="B30" s="7" t="s">
        <v>144</v>
      </c>
      <c r="C30" s="7" t="s">
        <v>39</v>
      </c>
      <c r="D30" s="7" t="s">
        <v>146</v>
      </c>
      <c r="E30" s="19" t="s">
        <v>145</v>
      </c>
      <c r="F30" s="8" t="s">
        <v>147</v>
      </c>
      <c r="G30" s="10" t="b">
        <v>1</v>
      </c>
      <c r="H30" s="10" t="b">
        <v>1</v>
      </c>
      <c r="I30" s="11" t="s">
        <v>533</v>
      </c>
      <c r="J30" s="11" t="s">
        <v>533</v>
      </c>
      <c r="K30" s="11"/>
      <c r="L30" s="11" t="s">
        <v>533</v>
      </c>
      <c r="M30" s="11" t="s">
        <v>533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 t="s">
        <v>533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1"/>
      <c r="BA30" s="11"/>
      <c r="BB30" s="11"/>
      <c r="BC30" s="11"/>
      <c r="BD30" s="11"/>
      <c r="BE30" s="11">
        <f t="shared" si="0"/>
        <v>1</v>
      </c>
      <c r="BF30" s="11"/>
    </row>
    <row r="31" spans="1:58" ht="81" thickTop="1" thickBot="1" x14ac:dyDescent="0.45">
      <c r="A31" s="7">
        <f t="shared" si="1"/>
        <v>28</v>
      </c>
      <c r="B31" s="7" t="s">
        <v>600</v>
      </c>
      <c r="C31" s="7" t="s">
        <v>111</v>
      </c>
      <c r="D31" s="14" t="s">
        <v>149</v>
      </c>
      <c r="E31" s="8" t="s">
        <v>148</v>
      </c>
      <c r="F31" s="8" t="s">
        <v>153</v>
      </c>
      <c r="G31" s="10" t="b">
        <v>1</v>
      </c>
      <c r="H31" s="10" t="b">
        <v>1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 t="s">
        <v>533</v>
      </c>
      <c r="U31" s="11" t="s">
        <v>533</v>
      </c>
      <c r="V31" s="11" t="s">
        <v>533</v>
      </c>
      <c r="W31" s="11"/>
      <c r="X31" s="11"/>
      <c r="Y31" s="11"/>
      <c r="Z31" s="11" t="s">
        <v>533</v>
      </c>
      <c r="AA31" s="11"/>
      <c r="AB31" s="11"/>
      <c r="AC31" s="11"/>
      <c r="AD31" s="11" t="s">
        <v>533</v>
      </c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1"/>
      <c r="BA31" s="11"/>
      <c r="BB31" s="11"/>
      <c r="BC31" s="11"/>
      <c r="BD31" s="11"/>
      <c r="BE31" s="11">
        <f t="shared" si="0"/>
        <v>1</v>
      </c>
      <c r="BF31" s="11"/>
    </row>
    <row r="32" spans="1:58" ht="81" thickTop="1" thickBot="1" x14ac:dyDescent="0.45">
      <c r="A32" s="7">
        <f t="shared" si="1"/>
        <v>29</v>
      </c>
      <c r="B32" s="7" t="s">
        <v>601</v>
      </c>
      <c r="C32" s="7" t="s">
        <v>152</v>
      </c>
      <c r="D32" s="14" t="s">
        <v>151</v>
      </c>
      <c r="E32" s="8" t="s">
        <v>150</v>
      </c>
      <c r="F32" s="8" t="s">
        <v>250</v>
      </c>
      <c r="G32" s="10" t="b">
        <v>1</v>
      </c>
      <c r="H32" s="10" t="b">
        <v>1</v>
      </c>
      <c r="I32" s="11" t="s">
        <v>533</v>
      </c>
      <c r="J32" s="11"/>
      <c r="K32" s="11" t="s">
        <v>533</v>
      </c>
      <c r="L32" s="11" t="s">
        <v>533</v>
      </c>
      <c r="M32" s="11"/>
      <c r="N32" s="11"/>
      <c r="O32" s="11"/>
      <c r="P32" s="11"/>
      <c r="Q32" s="11"/>
      <c r="R32" s="11" t="s">
        <v>533</v>
      </c>
      <c r="S32" s="11"/>
      <c r="T32" s="11"/>
      <c r="U32" s="11"/>
      <c r="V32" s="11" t="s">
        <v>533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1"/>
      <c r="BA32" s="11"/>
      <c r="BB32" s="11"/>
      <c r="BC32" s="11"/>
      <c r="BD32" s="11"/>
      <c r="BE32" s="11">
        <f t="shared" si="0"/>
        <v>1</v>
      </c>
      <c r="BF32" s="11"/>
    </row>
    <row r="33" spans="1:58" ht="113" thickTop="1" thickBot="1" x14ac:dyDescent="0.45">
      <c r="A33" s="7">
        <f t="shared" si="1"/>
        <v>30</v>
      </c>
      <c r="B33" s="7" t="s">
        <v>602</v>
      </c>
      <c r="C33" s="8" t="s">
        <v>62</v>
      </c>
      <c r="D33" s="7" t="s">
        <v>159</v>
      </c>
      <c r="E33" s="19" t="s">
        <v>158</v>
      </c>
      <c r="F33" s="8" t="s">
        <v>157</v>
      </c>
      <c r="G33" s="10" t="b">
        <v>1</v>
      </c>
      <c r="H33" s="10" t="b">
        <v>1</v>
      </c>
      <c r="I33" s="11"/>
      <c r="J33" s="11"/>
      <c r="K33" s="11"/>
      <c r="L33" s="11"/>
      <c r="M33" s="11"/>
      <c r="N33" s="11"/>
      <c r="O33" s="11" t="s">
        <v>533</v>
      </c>
      <c r="P33" s="11"/>
      <c r="Q33" s="11" t="s">
        <v>533</v>
      </c>
      <c r="R33" s="11"/>
      <c r="S33" s="11"/>
      <c r="T33" s="11" t="s">
        <v>533</v>
      </c>
      <c r="U33" s="11" t="s">
        <v>533</v>
      </c>
      <c r="V33" s="11"/>
      <c r="W33" s="11"/>
      <c r="X33" s="11" t="s">
        <v>533</v>
      </c>
      <c r="Y33" s="11"/>
      <c r="Z33" s="11"/>
      <c r="AA33" s="11"/>
      <c r="AB33" s="11"/>
      <c r="AC33" s="11"/>
      <c r="AD33" s="11" t="s">
        <v>533</v>
      </c>
      <c r="AE33" s="11" t="s">
        <v>533</v>
      </c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1"/>
      <c r="BA33" s="11"/>
      <c r="BB33" s="11"/>
      <c r="BC33" s="11"/>
      <c r="BD33" s="11"/>
      <c r="BE33" s="11">
        <f t="shared" ref="BE33:BE56" si="2">COUNTIF(G33:H33,TRUE)/COUNTA(G33:H33)</f>
        <v>1</v>
      </c>
      <c r="BF33" s="11"/>
    </row>
    <row r="34" spans="1:58" ht="65" thickTop="1" thickBot="1" x14ac:dyDescent="0.45">
      <c r="A34" s="7">
        <f t="shared" si="1"/>
        <v>31</v>
      </c>
      <c r="B34" s="7" t="s">
        <v>603</v>
      </c>
      <c r="C34" s="7" t="s">
        <v>163</v>
      </c>
      <c r="D34" s="7" t="s">
        <v>161</v>
      </c>
      <c r="E34" s="19" t="s">
        <v>160</v>
      </c>
      <c r="F34" s="8" t="s">
        <v>162</v>
      </c>
      <c r="G34" s="10" t="b">
        <v>1</v>
      </c>
      <c r="H34" s="10" t="b">
        <v>1</v>
      </c>
      <c r="I34" s="11"/>
      <c r="J34" s="11"/>
      <c r="K34" s="11"/>
      <c r="L34" s="11"/>
      <c r="M34" s="11"/>
      <c r="N34" s="11"/>
      <c r="O34" s="11"/>
      <c r="P34" s="11"/>
      <c r="Q34" s="11" t="s">
        <v>533</v>
      </c>
      <c r="R34" s="11"/>
      <c r="S34" s="11" t="s">
        <v>533</v>
      </c>
      <c r="T34" s="11" t="s">
        <v>533</v>
      </c>
      <c r="U34" s="11" t="s">
        <v>533</v>
      </c>
      <c r="V34" s="11" t="s">
        <v>533</v>
      </c>
      <c r="W34" s="11"/>
      <c r="X34" s="11"/>
      <c r="Y34" s="11"/>
      <c r="Z34" s="11"/>
      <c r="AA34" s="11" t="s">
        <v>533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1"/>
      <c r="BA34" s="11"/>
      <c r="BB34" s="11"/>
      <c r="BC34" s="11"/>
      <c r="BD34" s="11"/>
      <c r="BE34" s="11">
        <f t="shared" si="2"/>
        <v>1</v>
      </c>
      <c r="BF34" s="11"/>
    </row>
    <row r="35" spans="1:58" ht="49" thickTop="1" thickBot="1" x14ac:dyDescent="0.45">
      <c r="A35" s="7">
        <f t="shared" si="1"/>
        <v>32</v>
      </c>
      <c r="B35" s="7" t="s">
        <v>164</v>
      </c>
      <c r="C35" s="7" t="s">
        <v>165</v>
      </c>
      <c r="D35" s="7" t="s">
        <v>167</v>
      </c>
      <c r="E35" s="9" t="s">
        <v>166</v>
      </c>
      <c r="F35" s="8" t="s">
        <v>168</v>
      </c>
      <c r="G35" s="10" t="b">
        <v>1</v>
      </c>
      <c r="H35" s="10" t="b">
        <v>1</v>
      </c>
      <c r="I35" s="11"/>
      <c r="J35" s="11"/>
      <c r="K35" s="11"/>
      <c r="L35" s="11"/>
      <c r="M35" s="11"/>
      <c r="N35" s="11"/>
      <c r="O35" s="11" t="s">
        <v>533</v>
      </c>
      <c r="P35" s="11" t="s">
        <v>533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 t="s">
        <v>533</v>
      </c>
      <c r="AN35" s="11"/>
      <c r="AO35" s="11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1"/>
      <c r="BA35" s="11"/>
      <c r="BB35" s="11"/>
      <c r="BC35" s="11"/>
      <c r="BD35" s="11"/>
      <c r="BE35" s="11">
        <f t="shared" si="2"/>
        <v>1</v>
      </c>
      <c r="BF35" s="11"/>
    </row>
    <row r="36" spans="1:58" ht="129" thickTop="1" thickBot="1" x14ac:dyDescent="0.45">
      <c r="A36" s="7">
        <f t="shared" si="1"/>
        <v>33</v>
      </c>
      <c r="B36" s="7" t="s">
        <v>604</v>
      </c>
      <c r="C36" s="8" t="s">
        <v>169</v>
      </c>
      <c r="D36" s="7" t="s">
        <v>172</v>
      </c>
      <c r="E36" s="19" t="s">
        <v>170</v>
      </c>
      <c r="F36" s="8" t="s">
        <v>171</v>
      </c>
      <c r="G36" s="10" t="b">
        <v>1</v>
      </c>
      <c r="H36" s="10" t="b">
        <v>1</v>
      </c>
      <c r="I36" s="11"/>
      <c r="J36" s="11"/>
      <c r="K36" s="11" t="s">
        <v>533</v>
      </c>
      <c r="L36" s="11"/>
      <c r="M36" s="11"/>
      <c r="N36" s="11"/>
      <c r="O36" s="11" t="s">
        <v>533</v>
      </c>
      <c r="P36" s="11"/>
      <c r="Q36" s="11"/>
      <c r="R36" s="11"/>
      <c r="S36" s="11"/>
      <c r="T36" s="11" t="s">
        <v>533</v>
      </c>
      <c r="U36" s="11"/>
      <c r="V36" s="11" t="s">
        <v>533</v>
      </c>
      <c r="W36" s="11" t="s">
        <v>533</v>
      </c>
      <c r="X36" s="11" t="s">
        <v>533</v>
      </c>
      <c r="Y36" s="11"/>
      <c r="Z36" s="11"/>
      <c r="AA36" s="11"/>
      <c r="AB36" s="11"/>
      <c r="AC36" s="11"/>
      <c r="AD36" s="11" t="s">
        <v>533</v>
      </c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1"/>
      <c r="BA36" s="11"/>
      <c r="BB36" s="11"/>
      <c r="BC36" s="11"/>
      <c r="BD36" s="11"/>
      <c r="BE36" s="11">
        <f t="shared" si="2"/>
        <v>1</v>
      </c>
      <c r="BF36" s="11"/>
    </row>
    <row r="37" spans="1:58" ht="65" thickTop="1" thickBot="1" x14ac:dyDescent="0.45">
      <c r="A37" s="7">
        <f t="shared" si="1"/>
        <v>34</v>
      </c>
      <c r="B37" s="7" t="s">
        <v>173</v>
      </c>
      <c r="C37" s="8" t="s">
        <v>176</v>
      </c>
      <c r="D37" s="7" t="s">
        <v>174</v>
      </c>
      <c r="E37" s="19" t="s">
        <v>175</v>
      </c>
      <c r="F37" s="8" t="s">
        <v>583</v>
      </c>
      <c r="G37" s="10" t="b">
        <v>1</v>
      </c>
      <c r="H37" s="10" t="b">
        <v>1</v>
      </c>
      <c r="I37" s="11"/>
      <c r="J37" s="11"/>
      <c r="K37" s="11" t="s">
        <v>533</v>
      </c>
      <c r="L37" s="11" t="s">
        <v>533</v>
      </c>
      <c r="M37" s="11"/>
      <c r="N37" s="11" t="s">
        <v>533</v>
      </c>
      <c r="O37" s="11"/>
      <c r="P37" s="11"/>
      <c r="Q37" s="11"/>
      <c r="R37" s="11" t="s">
        <v>533</v>
      </c>
      <c r="S37" s="11"/>
      <c r="T37" s="11"/>
      <c r="U37" s="11"/>
      <c r="V37" s="11" t="s">
        <v>533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1"/>
      <c r="BA37" s="11"/>
      <c r="BB37" s="11"/>
      <c r="BC37" s="11"/>
      <c r="BD37" s="11"/>
      <c r="BE37" s="11">
        <f t="shared" si="2"/>
        <v>1</v>
      </c>
      <c r="BF37" s="11"/>
    </row>
    <row r="38" spans="1:58" ht="40" customHeight="1" thickTop="1" thickBot="1" x14ac:dyDescent="0.45">
      <c r="A38" s="7">
        <f t="shared" si="1"/>
        <v>35</v>
      </c>
      <c r="B38" s="8" t="s">
        <v>177</v>
      </c>
      <c r="C38" s="8" t="s">
        <v>62</v>
      </c>
      <c r="D38" s="14" t="s">
        <v>178</v>
      </c>
      <c r="E38" s="19"/>
      <c r="F38" s="8" t="s">
        <v>193</v>
      </c>
      <c r="G38" s="10" t="b">
        <v>1</v>
      </c>
      <c r="H38" s="10" t="b">
        <v>1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 t="s">
        <v>533</v>
      </c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1"/>
      <c r="BA38" s="11"/>
      <c r="BB38" s="11"/>
      <c r="BC38" s="11"/>
      <c r="BD38" s="11"/>
      <c r="BE38" s="11">
        <f t="shared" si="2"/>
        <v>1</v>
      </c>
      <c r="BF38" s="11"/>
    </row>
    <row r="39" spans="1:58" ht="65" hidden="1" thickTop="1" thickBot="1" x14ac:dyDescent="0.45">
      <c r="A39" s="7">
        <f t="shared" si="1"/>
        <v>36</v>
      </c>
      <c r="B39" s="7" t="s">
        <v>179</v>
      </c>
      <c r="C39" s="8" t="s">
        <v>181</v>
      </c>
      <c r="D39" s="8" t="s">
        <v>180</v>
      </c>
      <c r="E39" s="19"/>
      <c r="F39" s="8" t="s">
        <v>182</v>
      </c>
      <c r="G39" s="10" t="b">
        <v>1</v>
      </c>
      <c r="H39" s="10" t="b">
        <v>1</v>
      </c>
      <c r="I39" s="11"/>
      <c r="J39" s="11"/>
      <c r="K39" s="11"/>
      <c r="L39" s="11" t="s">
        <v>533</v>
      </c>
      <c r="M39" s="11"/>
      <c r="N39" s="11"/>
      <c r="O39" s="11"/>
      <c r="P39" s="11"/>
      <c r="Q39" s="11"/>
      <c r="R39" s="11"/>
      <c r="S39" s="11"/>
      <c r="T39" s="11" t="s">
        <v>533</v>
      </c>
      <c r="U39" s="11"/>
      <c r="V39" s="11" t="s">
        <v>533</v>
      </c>
      <c r="W39" s="11"/>
      <c r="X39" s="11" t="s">
        <v>533</v>
      </c>
      <c r="Y39" s="11" t="s">
        <v>533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1"/>
      <c r="BA39" s="11"/>
      <c r="BB39" s="11"/>
      <c r="BC39" s="11"/>
      <c r="BD39" s="11"/>
      <c r="BE39" s="11">
        <f t="shared" si="2"/>
        <v>1</v>
      </c>
      <c r="BF39" s="11"/>
    </row>
    <row r="40" spans="1:58" ht="113" thickTop="1" thickBot="1" x14ac:dyDescent="0.45">
      <c r="A40" s="7">
        <f t="shared" si="1"/>
        <v>37</v>
      </c>
      <c r="B40" s="7" t="s">
        <v>184</v>
      </c>
      <c r="C40" s="8" t="s">
        <v>185</v>
      </c>
      <c r="D40" s="8" t="s">
        <v>183</v>
      </c>
      <c r="E40" s="9" t="s">
        <v>186</v>
      </c>
      <c r="F40" s="8" t="s">
        <v>187</v>
      </c>
      <c r="G40" s="10" t="b">
        <v>1</v>
      </c>
      <c r="H40" s="10" t="b">
        <v>1</v>
      </c>
      <c r="I40" s="11"/>
      <c r="J40" s="11"/>
      <c r="K40" s="11"/>
      <c r="L40" s="11"/>
      <c r="M40" s="11"/>
      <c r="N40" s="11"/>
      <c r="O40" s="11" t="s">
        <v>533</v>
      </c>
      <c r="P40" s="11"/>
      <c r="Q40" s="11"/>
      <c r="R40" s="11"/>
      <c r="S40" s="11"/>
      <c r="T40" s="11" t="s">
        <v>533</v>
      </c>
      <c r="U40" s="11" t="s">
        <v>533</v>
      </c>
      <c r="V40" s="11" t="s">
        <v>533</v>
      </c>
      <c r="W40" s="11"/>
      <c r="X40" s="11"/>
      <c r="Y40" s="11"/>
      <c r="Z40" s="11"/>
      <c r="AA40" s="11"/>
      <c r="AB40" s="11"/>
      <c r="AC40" s="11"/>
      <c r="AD40" s="11" t="s">
        <v>533</v>
      </c>
      <c r="AE40" s="11" t="s">
        <v>533</v>
      </c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1"/>
      <c r="BA40" s="11"/>
      <c r="BB40" s="11"/>
      <c r="BC40" s="11"/>
      <c r="BD40" s="11"/>
      <c r="BE40" s="11">
        <f t="shared" si="2"/>
        <v>1</v>
      </c>
      <c r="BF40" s="11"/>
    </row>
    <row r="41" spans="1:58" ht="97" thickTop="1" thickBot="1" x14ac:dyDescent="0.45">
      <c r="A41" s="7">
        <f t="shared" si="1"/>
        <v>38</v>
      </c>
      <c r="B41" s="7" t="s">
        <v>189</v>
      </c>
      <c r="C41" s="8" t="s">
        <v>120</v>
      </c>
      <c r="D41" s="8" t="s">
        <v>190</v>
      </c>
      <c r="E41" s="8" t="s">
        <v>192</v>
      </c>
      <c r="F41" s="8" t="s">
        <v>188</v>
      </c>
      <c r="G41" s="10" t="b">
        <v>1</v>
      </c>
      <c r="H41" s="10" t="b">
        <v>1</v>
      </c>
      <c r="I41" s="33"/>
      <c r="J41" s="11"/>
      <c r="K41" s="11"/>
      <c r="L41" s="11" t="s">
        <v>533</v>
      </c>
      <c r="M41" s="11"/>
      <c r="N41" s="11"/>
      <c r="O41" s="11" t="s">
        <v>533</v>
      </c>
      <c r="P41" s="11" t="s">
        <v>533</v>
      </c>
      <c r="Q41" s="11"/>
      <c r="R41" s="11"/>
      <c r="S41" s="11"/>
      <c r="T41" s="11"/>
      <c r="U41" s="11"/>
      <c r="V41" s="11" t="s">
        <v>533</v>
      </c>
      <c r="W41" s="11"/>
      <c r="X41" s="11" t="s">
        <v>533</v>
      </c>
      <c r="Y41" s="11"/>
      <c r="Z41" s="11"/>
      <c r="AA41" s="11"/>
      <c r="AB41" s="11"/>
      <c r="AC41" s="11"/>
      <c r="AD41" s="11"/>
      <c r="AE41" s="11" t="s">
        <v>533</v>
      </c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1"/>
      <c r="BA41" s="11"/>
      <c r="BB41" s="11"/>
      <c r="BC41" s="11"/>
      <c r="BD41" s="11"/>
      <c r="BE41" s="11">
        <f t="shared" si="2"/>
        <v>1</v>
      </c>
      <c r="BF41" s="26" t="s">
        <v>191</v>
      </c>
    </row>
    <row r="42" spans="1:58" ht="79" customHeight="1" thickTop="1" thickBot="1" x14ac:dyDescent="0.45">
      <c r="A42" s="7">
        <f t="shared" si="1"/>
        <v>39</v>
      </c>
      <c r="B42" s="7" t="s">
        <v>198</v>
      </c>
      <c r="C42" s="8" t="s">
        <v>195</v>
      </c>
      <c r="D42" s="14" t="s">
        <v>197</v>
      </c>
      <c r="E42" s="19" t="s">
        <v>196</v>
      </c>
      <c r="F42" s="8" t="s">
        <v>194</v>
      </c>
      <c r="G42" s="10" t="b">
        <v>1</v>
      </c>
      <c r="H42" s="10" t="b">
        <v>1</v>
      </c>
      <c r="I42" s="11" t="s">
        <v>533</v>
      </c>
      <c r="J42" s="11"/>
      <c r="K42" s="11" t="s">
        <v>533</v>
      </c>
      <c r="L42" s="11"/>
      <c r="M42" s="11"/>
      <c r="N42" s="11"/>
      <c r="O42" s="11" t="s">
        <v>533</v>
      </c>
      <c r="P42" s="11" t="s">
        <v>533</v>
      </c>
      <c r="Q42" s="11"/>
      <c r="R42" s="11"/>
      <c r="S42" s="11"/>
      <c r="T42" s="11" t="s">
        <v>533</v>
      </c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1"/>
      <c r="BA42" s="11"/>
      <c r="BB42" s="11"/>
      <c r="BC42" s="11"/>
      <c r="BD42" s="11"/>
      <c r="BE42" s="11">
        <f t="shared" si="2"/>
        <v>1</v>
      </c>
      <c r="BF42" s="11"/>
    </row>
    <row r="43" spans="1:58" ht="65" thickTop="1" thickBot="1" x14ac:dyDescent="0.45">
      <c r="A43" s="7">
        <f t="shared" si="1"/>
        <v>40</v>
      </c>
      <c r="B43" s="7" t="s">
        <v>605</v>
      </c>
      <c r="C43" s="7" t="s">
        <v>202</v>
      </c>
      <c r="D43" s="8" t="s">
        <v>199</v>
      </c>
      <c r="E43" s="7" t="s">
        <v>201</v>
      </c>
      <c r="F43" s="25" t="s">
        <v>200</v>
      </c>
      <c r="G43" s="10" t="b">
        <v>1</v>
      </c>
      <c r="H43" s="10" t="b">
        <v>1</v>
      </c>
      <c r="I43" s="11"/>
      <c r="J43" s="11"/>
      <c r="K43" s="11" t="s">
        <v>533</v>
      </c>
      <c r="L43" s="11"/>
      <c r="M43" s="11"/>
      <c r="N43" s="11"/>
      <c r="O43" s="11" t="s">
        <v>533</v>
      </c>
      <c r="P43" s="11" t="s">
        <v>533</v>
      </c>
      <c r="Q43" s="11" t="s">
        <v>533</v>
      </c>
      <c r="R43" s="11"/>
      <c r="S43" s="11"/>
      <c r="T43" s="11" t="s">
        <v>533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1"/>
      <c r="BA43" s="11"/>
      <c r="BB43" s="11"/>
      <c r="BC43" s="11"/>
      <c r="BD43" s="11"/>
      <c r="BE43" s="11">
        <f t="shared" si="2"/>
        <v>1</v>
      </c>
      <c r="BF43" s="11"/>
    </row>
    <row r="44" spans="1:58" ht="65" thickTop="1" thickBot="1" x14ac:dyDescent="0.45">
      <c r="A44" s="7">
        <f t="shared" si="1"/>
        <v>41</v>
      </c>
      <c r="B44" s="8" t="s">
        <v>203</v>
      </c>
      <c r="C44" s="8" t="s">
        <v>206</v>
      </c>
      <c r="D44" s="8" t="s">
        <v>204</v>
      </c>
      <c r="E44" s="7" t="s">
        <v>205</v>
      </c>
      <c r="F44" s="25" t="s">
        <v>207</v>
      </c>
      <c r="G44" s="10" t="b">
        <v>1</v>
      </c>
      <c r="H44" s="10" t="b">
        <v>1</v>
      </c>
      <c r="I44" s="11" t="s">
        <v>533</v>
      </c>
      <c r="J44" s="11" t="s">
        <v>533</v>
      </c>
      <c r="K44" s="11" t="s">
        <v>533</v>
      </c>
      <c r="L44" s="11"/>
      <c r="M44" s="11" t="s">
        <v>533</v>
      </c>
      <c r="N44" s="11" t="s">
        <v>533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1"/>
      <c r="BA44" s="11"/>
      <c r="BB44" s="11"/>
      <c r="BC44" s="11"/>
      <c r="BD44" s="11"/>
      <c r="BE44" s="11">
        <f t="shared" si="2"/>
        <v>1</v>
      </c>
      <c r="BF44" s="11"/>
    </row>
    <row r="45" spans="1:58" ht="145" thickTop="1" thickBot="1" x14ac:dyDescent="0.45">
      <c r="A45" s="7">
        <f t="shared" si="1"/>
        <v>42</v>
      </c>
      <c r="B45" s="8" t="s">
        <v>208</v>
      </c>
      <c r="C45" s="27" t="s">
        <v>212</v>
      </c>
      <c r="D45" s="28" t="s">
        <v>211</v>
      </c>
      <c r="E45" s="29" t="s">
        <v>209</v>
      </c>
      <c r="F45" s="25" t="s">
        <v>210</v>
      </c>
      <c r="G45" s="10" t="b">
        <v>1</v>
      </c>
      <c r="H45" s="10" t="b">
        <v>1</v>
      </c>
      <c r="I45" s="11"/>
      <c r="J45" s="11"/>
      <c r="K45" s="11"/>
      <c r="L45" s="11"/>
      <c r="M45" s="11"/>
      <c r="N45" s="11"/>
      <c r="O45" s="11"/>
      <c r="P45" s="11"/>
      <c r="Q45" s="11"/>
      <c r="R45" s="11" t="s">
        <v>533</v>
      </c>
      <c r="S45" s="11"/>
      <c r="T45" s="11" t="s">
        <v>533</v>
      </c>
      <c r="U45" s="11" t="s">
        <v>533</v>
      </c>
      <c r="V45" s="11" t="s">
        <v>533</v>
      </c>
      <c r="W45" s="11"/>
      <c r="X45" s="11" t="s">
        <v>533</v>
      </c>
      <c r="Y45" s="11" t="s">
        <v>533</v>
      </c>
      <c r="Z45" s="11"/>
      <c r="AA45" s="11"/>
      <c r="AB45" s="11"/>
      <c r="AC45" s="11" t="s">
        <v>533</v>
      </c>
      <c r="AD45" s="11"/>
      <c r="AE45" s="11" t="s">
        <v>533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1"/>
      <c r="BA45" s="11"/>
      <c r="BB45" s="11"/>
      <c r="BC45" s="11"/>
      <c r="BD45" s="11"/>
      <c r="BE45" s="11">
        <f t="shared" si="2"/>
        <v>1</v>
      </c>
      <c r="BF45" s="11"/>
    </row>
    <row r="46" spans="1:58" ht="81" thickTop="1" thickBot="1" x14ac:dyDescent="0.45">
      <c r="A46" s="7">
        <f t="shared" si="1"/>
        <v>43</v>
      </c>
      <c r="B46" s="8" t="s">
        <v>606</v>
      </c>
      <c r="C46" s="8" t="s">
        <v>214</v>
      </c>
      <c r="D46" s="7" t="s">
        <v>216</v>
      </c>
      <c r="E46" s="19" t="s">
        <v>215</v>
      </c>
      <c r="F46" s="25" t="s">
        <v>213</v>
      </c>
      <c r="G46" s="10" t="b">
        <v>1</v>
      </c>
      <c r="H46" s="10" t="b">
        <v>1</v>
      </c>
      <c r="I46" s="11" t="s">
        <v>533</v>
      </c>
      <c r="J46" s="11"/>
      <c r="K46" s="11" t="s">
        <v>533</v>
      </c>
      <c r="L46" s="11" t="s">
        <v>533</v>
      </c>
      <c r="M46" s="11"/>
      <c r="N46" s="11"/>
      <c r="O46" s="11"/>
      <c r="P46" s="11"/>
      <c r="Q46" s="11"/>
      <c r="R46" s="11"/>
      <c r="S46" s="11"/>
      <c r="T46" s="11" t="s">
        <v>533</v>
      </c>
      <c r="U46" s="11" t="s">
        <v>533</v>
      </c>
      <c r="V46" s="11" t="s">
        <v>533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1"/>
      <c r="BA46" s="11"/>
      <c r="BB46" s="11"/>
      <c r="BC46" s="11"/>
      <c r="BD46" s="11"/>
      <c r="BE46" s="11">
        <f t="shared" si="2"/>
        <v>1</v>
      </c>
      <c r="BF46" s="11"/>
    </row>
    <row r="47" spans="1:58" ht="129" thickTop="1" thickBot="1" x14ac:dyDescent="0.45">
      <c r="A47" s="7">
        <f t="shared" si="1"/>
        <v>44</v>
      </c>
      <c r="B47" s="8" t="s">
        <v>607</v>
      </c>
      <c r="C47" s="8" t="s">
        <v>62</v>
      </c>
      <c r="D47" s="8" t="s">
        <v>221</v>
      </c>
      <c r="E47" s="8" t="s">
        <v>222</v>
      </c>
      <c r="F47" s="8" t="s">
        <v>223</v>
      </c>
      <c r="G47" s="10" t="b">
        <v>1</v>
      </c>
      <c r="H47" s="10" t="b">
        <v>1</v>
      </c>
      <c r="I47" s="11"/>
      <c r="J47" s="11"/>
      <c r="K47" s="11" t="s">
        <v>533</v>
      </c>
      <c r="L47" s="11"/>
      <c r="M47" s="11"/>
      <c r="N47" s="11"/>
      <c r="O47" s="11"/>
      <c r="P47" s="11"/>
      <c r="Q47" s="11" t="s">
        <v>533</v>
      </c>
      <c r="R47" s="11"/>
      <c r="S47" s="11"/>
      <c r="T47" s="11" t="s">
        <v>533</v>
      </c>
      <c r="U47" s="11" t="s">
        <v>533</v>
      </c>
      <c r="V47" s="11"/>
      <c r="W47" s="11"/>
      <c r="X47" s="11" t="s">
        <v>533</v>
      </c>
      <c r="Y47" s="11"/>
      <c r="Z47" s="11"/>
      <c r="AA47" s="11"/>
      <c r="AB47" s="11"/>
      <c r="AC47" s="11" t="s">
        <v>533</v>
      </c>
      <c r="AD47" s="11"/>
      <c r="AE47" s="11" t="s">
        <v>533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2"/>
      <c r="AQ47" s="12"/>
      <c r="AR47" s="12"/>
      <c r="AS47" s="11"/>
      <c r="AT47" s="11"/>
      <c r="AU47" s="11"/>
      <c r="AV47" s="11"/>
      <c r="AW47" s="11"/>
      <c r="AX47" s="11"/>
      <c r="AY47" s="11"/>
      <c r="AZ47" s="11" t="s">
        <v>533</v>
      </c>
      <c r="BA47" s="11"/>
      <c r="BB47" s="11"/>
      <c r="BC47" s="11"/>
      <c r="BD47" s="11"/>
      <c r="BE47" s="11">
        <f t="shared" si="2"/>
        <v>1</v>
      </c>
      <c r="BF47" s="11"/>
    </row>
    <row r="48" spans="1:58" ht="97" thickTop="1" thickBot="1" x14ac:dyDescent="0.45">
      <c r="A48" s="7">
        <f t="shared" si="1"/>
        <v>45</v>
      </c>
      <c r="B48" s="40" t="s">
        <v>224</v>
      </c>
      <c r="C48" s="40" t="s">
        <v>227</v>
      </c>
      <c r="D48" s="40" t="s">
        <v>225</v>
      </c>
      <c r="E48" s="40" t="s">
        <v>226</v>
      </c>
      <c r="F48" s="40" t="s">
        <v>256</v>
      </c>
      <c r="G48" s="10" t="b">
        <v>1</v>
      </c>
      <c r="H48" s="10" t="b">
        <v>1</v>
      </c>
      <c r="I48" s="11"/>
      <c r="J48" s="11"/>
      <c r="K48" s="11" t="s">
        <v>533</v>
      </c>
      <c r="L48" s="11"/>
      <c r="M48" s="11"/>
      <c r="N48" s="11"/>
      <c r="O48" s="11" t="s">
        <v>533</v>
      </c>
      <c r="P48" s="11"/>
      <c r="Q48" s="11"/>
      <c r="R48" s="11"/>
      <c r="S48" s="11"/>
      <c r="T48" s="11" t="s">
        <v>533</v>
      </c>
      <c r="U48" s="11" t="s">
        <v>533</v>
      </c>
      <c r="V48" s="11" t="s">
        <v>533</v>
      </c>
      <c r="W48" s="11"/>
      <c r="X48" s="11"/>
      <c r="Y48" s="45" t="s">
        <v>533</v>
      </c>
      <c r="Z48" s="11"/>
      <c r="AA48" s="11"/>
      <c r="AB48" s="11"/>
      <c r="AC48" s="11" t="s">
        <v>533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2"/>
      <c r="AQ48" s="12"/>
      <c r="AR48" s="12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>
        <f t="shared" si="2"/>
        <v>1</v>
      </c>
      <c r="BF48" s="11"/>
    </row>
    <row r="49" spans="1:58" ht="81" thickTop="1" thickBot="1" x14ac:dyDescent="0.45">
      <c r="A49" s="7">
        <f t="shared" si="1"/>
        <v>46</v>
      </c>
      <c r="B49" s="8" t="s">
        <v>233</v>
      </c>
      <c r="C49" s="8" t="s">
        <v>236</v>
      </c>
      <c r="D49" s="8" t="s">
        <v>234</v>
      </c>
      <c r="E49" s="8" t="s">
        <v>235</v>
      </c>
      <c r="F49" s="8" t="s">
        <v>237</v>
      </c>
      <c r="G49" s="10" t="b">
        <v>1</v>
      </c>
      <c r="H49" s="10" t="b">
        <v>1</v>
      </c>
      <c r="I49" s="11"/>
      <c r="J49" s="11"/>
      <c r="K49" s="11"/>
      <c r="L49" s="11"/>
      <c r="M49" s="11" t="s">
        <v>533</v>
      </c>
      <c r="N49" s="11"/>
      <c r="O49" s="11"/>
      <c r="P49" s="11"/>
      <c r="Q49" s="11"/>
      <c r="R49" s="11"/>
      <c r="S49" s="11" t="s">
        <v>533</v>
      </c>
      <c r="T49" s="11"/>
      <c r="U49" s="11"/>
      <c r="V49" s="11"/>
      <c r="W49" s="11" t="s">
        <v>533</v>
      </c>
      <c r="X49" s="11"/>
      <c r="Y49" s="11"/>
      <c r="Z49" s="11"/>
      <c r="AA49" s="11"/>
      <c r="AB49" s="11" t="s">
        <v>533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2"/>
      <c r="AQ49" s="12"/>
      <c r="AR49" s="12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>
        <f t="shared" si="2"/>
        <v>1</v>
      </c>
      <c r="BF49" s="11"/>
    </row>
    <row r="50" spans="1:58" ht="65" thickTop="1" thickBot="1" x14ac:dyDescent="0.45">
      <c r="A50" s="7">
        <f t="shared" si="1"/>
        <v>47</v>
      </c>
      <c r="B50" s="8" t="s">
        <v>608</v>
      </c>
      <c r="C50" s="8" t="s">
        <v>240</v>
      </c>
      <c r="D50" s="7" t="s">
        <v>239</v>
      </c>
      <c r="E50" s="8" t="s">
        <v>238</v>
      </c>
      <c r="F50" s="8" t="s">
        <v>241</v>
      </c>
      <c r="G50" s="10" t="b">
        <v>1</v>
      </c>
      <c r="H50" s="10" t="b">
        <v>1</v>
      </c>
      <c r="I50" s="11"/>
      <c r="J50" s="11"/>
      <c r="K50" s="11" t="s">
        <v>533</v>
      </c>
      <c r="L50" s="11"/>
      <c r="M50" s="11"/>
      <c r="N50" s="11"/>
      <c r="O50" s="11" t="s">
        <v>533</v>
      </c>
      <c r="P50" s="11" t="s">
        <v>533</v>
      </c>
      <c r="Q50" s="11"/>
      <c r="R50" s="11"/>
      <c r="S50" s="11" t="s">
        <v>533</v>
      </c>
      <c r="T50" s="11" t="s">
        <v>533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2"/>
      <c r="AQ50" s="12"/>
      <c r="AR50" s="12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>
        <f t="shared" si="2"/>
        <v>1</v>
      </c>
      <c r="BF50" s="11"/>
    </row>
    <row r="51" spans="1:58" ht="65" thickTop="1" thickBot="1" x14ac:dyDescent="0.45">
      <c r="A51" s="7">
        <f t="shared" si="1"/>
        <v>48</v>
      </c>
      <c r="B51" s="8" t="s">
        <v>242</v>
      </c>
      <c r="C51" s="8" t="s">
        <v>243</v>
      </c>
      <c r="D51" s="7" t="s">
        <v>245</v>
      </c>
      <c r="E51" s="8" t="s">
        <v>244</v>
      </c>
      <c r="F51" s="8" t="s">
        <v>265</v>
      </c>
      <c r="G51" s="10" t="b">
        <v>1</v>
      </c>
      <c r="H51" s="10" t="b">
        <v>1</v>
      </c>
      <c r="I51" s="34"/>
      <c r="J51" s="11"/>
      <c r="K51" s="11" t="s">
        <v>533</v>
      </c>
      <c r="L51" s="11" t="s">
        <v>533</v>
      </c>
      <c r="M51" s="11"/>
      <c r="N51" s="11"/>
      <c r="O51" s="11" t="s">
        <v>533</v>
      </c>
      <c r="P51" s="11" t="s">
        <v>533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2"/>
      <c r="AQ51" s="12"/>
      <c r="AR51" s="12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>
        <f t="shared" si="2"/>
        <v>1</v>
      </c>
      <c r="BF51" s="11"/>
    </row>
    <row r="52" spans="1:58" ht="97" thickTop="1" thickBot="1" x14ac:dyDescent="0.45">
      <c r="A52" s="7">
        <f t="shared" si="1"/>
        <v>49</v>
      </c>
      <c r="B52" s="8" t="s">
        <v>252</v>
      </c>
      <c r="C52" s="8" t="s">
        <v>29</v>
      </c>
      <c r="D52" s="8" t="s">
        <v>254</v>
      </c>
      <c r="E52" s="8" t="s">
        <v>253</v>
      </c>
      <c r="F52" s="8" t="s">
        <v>255</v>
      </c>
      <c r="G52" s="10" t="b">
        <v>1</v>
      </c>
      <c r="H52" s="10" t="b">
        <v>1</v>
      </c>
      <c r="I52" s="11" t="s">
        <v>533</v>
      </c>
      <c r="J52" s="11" t="s">
        <v>533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533</v>
      </c>
      <c r="V52" s="11"/>
      <c r="W52" s="11" t="s">
        <v>533</v>
      </c>
      <c r="X52" s="11"/>
      <c r="Y52" s="11"/>
      <c r="Z52" s="11" t="s">
        <v>533</v>
      </c>
      <c r="AA52" s="11"/>
      <c r="AB52" s="11" t="s">
        <v>533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2"/>
      <c r="AQ52" s="12"/>
      <c r="AR52" s="12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>
        <f t="shared" si="2"/>
        <v>1</v>
      </c>
      <c r="BF52" s="11"/>
    </row>
    <row r="53" spans="1:58" ht="97" thickTop="1" thickBot="1" x14ac:dyDescent="0.45">
      <c r="A53" s="7">
        <f t="shared" si="1"/>
        <v>50</v>
      </c>
      <c r="B53" s="8" t="s">
        <v>257</v>
      </c>
      <c r="C53" s="8" t="s">
        <v>251</v>
      </c>
      <c r="D53" s="8" t="s">
        <v>258</v>
      </c>
      <c r="E53" s="8" t="s">
        <v>259</v>
      </c>
      <c r="F53" s="8" t="s">
        <v>260</v>
      </c>
      <c r="G53" s="10" t="b">
        <v>1</v>
      </c>
      <c r="H53" s="10" t="b">
        <v>1</v>
      </c>
      <c r="I53" s="11"/>
      <c r="J53" s="11"/>
      <c r="K53" s="11"/>
      <c r="L53" s="11"/>
      <c r="M53" s="11" t="s">
        <v>533</v>
      </c>
      <c r="N53" s="11"/>
      <c r="O53" s="11"/>
      <c r="P53" s="11"/>
      <c r="Q53" s="11"/>
      <c r="R53" s="11" t="s">
        <v>533</v>
      </c>
      <c r="S53" s="11" t="s">
        <v>533</v>
      </c>
      <c r="T53" s="11"/>
      <c r="U53" s="11"/>
      <c r="V53" s="11" t="s">
        <v>533</v>
      </c>
      <c r="W53" s="11"/>
      <c r="X53" s="11"/>
      <c r="Y53" s="11"/>
      <c r="Z53" s="11"/>
      <c r="AA53" s="11"/>
      <c r="AB53" s="11"/>
      <c r="AC53" s="11"/>
      <c r="AD53" s="11" t="s">
        <v>533</v>
      </c>
      <c r="AE53" s="11" t="s">
        <v>533</v>
      </c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2"/>
      <c r="AQ53" s="12"/>
      <c r="AR53" s="12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>
        <f t="shared" si="2"/>
        <v>1</v>
      </c>
      <c r="BF53" s="11"/>
    </row>
    <row r="54" spans="1:58" ht="97" thickTop="1" thickBot="1" x14ac:dyDescent="0.45">
      <c r="A54" s="7">
        <f t="shared" si="1"/>
        <v>51</v>
      </c>
      <c r="B54" s="8" t="s">
        <v>266</v>
      </c>
      <c r="C54" s="8" t="s">
        <v>270</v>
      </c>
      <c r="D54" s="8" t="s">
        <v>269</v>
      </c>
      <c r="E54" s="8" t="s">
        <v>268</v>
      </c>
      <c r="F54" s="8" t="s">
        <v>267</v>
      </c>
      <c r="G54" s="10" t="b">
        <v>1</v>
      </c>
      <c r="H54" s="10" t="b">
        <v>1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 t="s">
        <v>533</v>
      </c>
      <c r="U54" s="11" t="s">
        <v>533</v>
      </c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 t="s">
        <v>533</v>
      </c>
      <c r="AL54" s="11"/>
      <c r="AM54" s="11"/>
      <c r="AN54" s="11" t="s">
        <v>533</v>
      </c>
      <c r="AO54" s="11"/>
      <c r="AP54" s="12"/>
      <c r="AQ54" s="12"/>
      <c r="AR54" s="12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>
        <f t="shared" si="2"/>
        <v>1</v>
      </c>
      <c r="BF54" s="11"/>
    </row>
    <row r="55" spans="1:58" ht="49" thickTop="1" thickBot="1" x14ac:dyDescent="0.45">
      <c r="A55" s="7">
        <f t="shared" si="1"/>
        <v>52</v>
      </c>
      <c r="B55" s="8" t="s">
        <v>609</v>
      </c>
      <c r="C55" s="8" t="s">
        <v>227</v>
      </c>
      <c r="D55" s="8" t="s">
        <v>272</v>
      </c>
      <c r="E55" s="8" t="s">
        <v>273</v>
      </c>
      <c r="F55" s="8" t="s">
        <v>271</v>
      </c>
      <c r="G55" s="10" t="b">
        <v>1</v>
      </c>
      <c r="H55" s="10" t="b">
        <v>1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 t="s">
        <v>533</v>
      </c>
      <c r="U55" s="11"/>
      <c r="V55" s="11"/>
      <c r="W55" s="11"/>
      <c r="X55" s="11" t="s">
        <v>533</v>
      </c>
      <c r="Y55" s="11" t="s">
        <v>533</v>
      </c>
      <c r="Z55" s="11"/>
      <c r="AA55" s="11"/>
      <c r="AB55" s="11"/>
      <c r="AC55" s="11"/>
      <c r="AD55" s="11" t="s">
        <v>533</v>
      </c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2"/>
      <c r="AQ55" s="12"/>
      <c r="AR55" s="12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>
        <f t="shared" si="2"/>
        <v>1</v>
      </c>
      <c r="BF55" s="11"/>
    </row>
    <row r="56" spans="1:58" ht="65" thickTop="1" thickBot="1" x14ac:dyDescent="0.45">
      <c r="A56" s="7">
        <f t="shared" si="1"/>
        <v>53</v>
      </c>
      <c r="B56" s="8" t="s">
        <v>610</v>
      </c>
      <c r="C56" s="8" t="s">
        <v>275</v>
      </c>
      <c r="D56" s="8" t="s">
        <v>276</v>
      </c>
      <c r="E56" s="8" t="s">
        <v>277</v>
      </c>
      <c r="F56" s="8" t="s">
        <v>274</v>
      </c>
      <c r="G56" s="10" t="b">
        <v>1</v>
      </c>
      <c r="H56" s="10" t="b">
        <v>1</v>
      </c>
      <c r="I56" s="11" t="s">
        <v>533</v>
      </c>
      <c r="J56" s="11" t="s">
        <v>533</v>
      </c>
      <c r="K56" s="11" t="s">
        <v>533</v>
      </c>
      <c r="L56" s="11"/>
      <c r="M56" s="11"/>
      <c r="N56" s="11" t="s">
        <v>533</v>
      </c>
      <c r="O56" s="11"/>
      <c r="P56" s="11"/>
      <c r="Q56" s="11"/>
      <c r="R56" s="11"/>
      <c r="S56" s="11"/>
      <c r="T56" s="11"/>
      <c r="U56" s="11" t="s">
        <v>533</v>
      </c>
      <c r="V56" s="11"/>
      <c r="W56" s="11"/>
      <c r="X56" s="11"/>
      <c r="Y56" s="11"/>
      <c r="Z56" s="11"/>
      <c r="AA56" s="11" t="s">
        <v>533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2"/>
      <c r="AQ56" s="12"/>
      <c r="AR56" s="12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>
        <f t="shared" si="2"/>
        <v>1</v>
      </c>
      <c r="BF56" s="11"/>
    </row>
    <row r="57" spans="1:58" ht="129" thickTop="1" thickBot="1" x14ac:dyDescent="0.45">
      <c r="A57" s="7">
        <f t="shared" ref="A57:A111" si="3">ROW()-3</f>
        <v>54</v>
      </c>
      <c r="B57" s="8" t="s">
        <v>611</v>
      </c>
      <c r="C57" s="8" t="s">
        <v>251</v>
      </c>
      <c r="D57" s="8" t="s">
        <v>297</v>
      </c>
      <c r="E57" s="8" t="s">
        <v>298</v>
      </c>
      <c r="F57" s="8" t="s">
        <v>299</v>
      </c>
      <c r="G57" s="10" t="b">
        <v>1</v>
      </c>
      <c r="H57" s="10" t="b">
        <v>1</v>
      </c>
      <c r="I57" s="11"/>
      <c r="J57" s="11"/>
      <c r="K57" s="11" t="s">
        <v>533</v>
      </c>
      <c r="L57" s="11"/>
      <c r="M57" s="11"/>
      <c r="N57" s="11"/>
      <c r="O57" s="11"/>
      <c r="P57" s="11"/>
      <c r="Q57" s="11"/>
      <c r="R57" s="11" t="s">
        <v>533</v>
      </c>
      <c r="S57" s="11" t="s">
        <v>533</v>
      </c>
      <c r="T57" s="11" t="s">
        <v>533</v>
      </c>
      <c r="U57" s="11"/>
      <c r="V57" s="11" t="s">
        <v>533</v>
      </c>
      <c r="W57" s="11"/>
      <c r="X57" s="11"/>
      <c r="Y57" s="11" t="s">
        <v>533</v>
      </c>
      <c r="Z57" s="11" t="s">
        <v>533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2"/>
      <c r="AQ57" s="12"/>
      <c r="AR57" s="12"/>
      <c r="AS57" s="11"/>
      <c r="AT57" s="11"/>
      <c r="AU57" s="11"/>
      <c r="AV57" s="11"/>
      <c r="AW57" s="11"/>
      <c r="AX57" s="11"/>
      <c r="AY57" s="11"/>
      <c r="AZ57" s="11"/>
      <c r="BA57" s="11" t="s">
        <v>533</v>
      </c>
      <c r="BB57" s="11"/>
      <c r="BC57" s="11"/>
      <c r="BD57" s="11"/>
      <c r="BE57" s="11">
        <f t="shared" ref="BE57:BE83" si="4">COUNTIF(G57:H57,TRUE)/COUNTA(G57:H57)</f>
        <v>1</v>
      </c>
      <c r="BF57" s="11"/>
    </row>
    <row r="58" spans="1:58" ht="65" thickTop="1" thickBot="1" x14ac:dyDescent="0.45">
      <c r="A58" s="7">
        <f t="shared" si="3"/>
        <v>55</v>
      </c>
      <c r="B58" s="8" t="s">
        <v>612</v>
      </c>
      <c r="C58" s="8" t="s">
        <v>39</v>
      </c>
      <c r="D58" s="8" t="s">
        <v>301</v>
      </c>
      <c r="E58" s="8" t="s">
        <v>300</v>
      </c>
      <c r="F58" s="8" t="s">
        <v>302</v>
      </c>
      <c r="G58" s="10" t="b">
        <v>1</v>
      </c>
      <c r="H58" s="10" t="b">
        <v>1</v>
      </c>
      <c r="I58" s="11" t="s">
        <v>533</v>
      </c>
      <c r="J58" s="11"/>
      <c r="K58" s="11"/>
      <c r="L58" s="11"/>
      <c r="M58" s="11"/>
      <c r="N58" s="11"/>
      <c r="O58" s="11"/>
      <c r="P58" s="11" t="s">
        <v>533</v>
      </c>
      <c r="Q58" s="11"/>
      <c r="R58" s="11"/>
      <c r="S58" s="11"/>
      <c r="T58" s="11" t="s">
        <v>533</v>
      </c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 t="s">
        <v>533</v>
      </c>
      <c r="AF58" s="11"/>
      <c r="AG58" s="11"/>
      <c r="AH58" s="11" t="s">
        <v>533</v>
      </c>
      <c r="AI58" s="11"/>
      <c r="AJ58" s="11"/>
      <c r="AK58" s="11"/>
      <c r="AL58" s="11"/>
      <c r="AM58" s="11"/>
      <c r="AN58" s="11"/>
      <c r="AO58" s="11"/>
      <c r="AP58" s="12"/>
      <c r="AQ58" s="12"/>
      <c r="AR58" s="12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>
        <f t="shared" si="4"/>
        <v>1</v>
      </c>
      <c r="BF58" s="11"/>
    </row>
    <row r="59" spans="1:58" ht="193" thickTop="1" thickBot="1" x14ac:dyDescent="0.45">
      <c r="A59" s="7">
        <f t="shared" si="3"/>
        <v>56</v>
      </c>
      <c r="B59" s="8" t="s">
        <v>303</v>
      </c>
      <c r="C59" s="8" t="s">
        <v>15</v>
      </c>
      <c r="D59" s="8" t="s">
        <v>304</v>
      </c>
      <c r="E59" s="8" t="s">
        <v>305</v>
      </c>
      <c r="F59" s="8" t="s">
        <v>306</v>
      </c>
      <c r="G59" s="10" t="b">
        <v>1</v>
      </c>
      <c r="H59" s="10" t="b">
        <v>1</v>
      </c>
      <c r="I59" s="11"/>
      <c r="J59" s="11"/>
      <c r="K59" s="11"/>
      <c r="L59" s="11"/>
      <c r="M59" s="11"/>
      <c r="N59" s="11"/>
      <c r="O59" s="11"/>
      <c r="P59" s="11"/>
      <c r="Q59" s="11" t="s">
        <v>533</v>
      </c>
      <c r="R59" s="11" t="s">
        <v>533</v>
      </c>
      <c r="S59" s="11"/>
      <c r="T59" s="11" t="s">
        <v>533</v>
      </c>
      <c r="U59" s="11" t="s">
        <v>533</v>
      </c>
      <c r="V59" s="11" t="s">
        <v>533</v>
      </c>
      <c r="W59" s="11"/>
      <c r="X59" s="11" t="s">
        <v>533</v>
      </c>
      <c r="Y59" s="11" t="s">
        <v>533</v>
      </c>
      <c r="Z59" s="11"/>
      <c r="AA59" s="11" t="s">
        <v>533</v>
      </c>
      <c r="AB59" s="11"/>
      <c r="AC59" s="11" t="s">
        <v>533</v>
      </c>
      <c r="AD59" s="11" t="s">
        <v>533</v>
      </c>
      <c r="AE59" s="11" t="s">
        <v>533</v>
      </c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2"/>
      <c r="AQ59" s="12"/>
      <c r="AR59" s="12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>
        <f t="shared" si="4"/>
        <v>1</v>
      </c>
      <c r="BF59" s="11"/>
    </row>
    <row r="60" spans="1:58" ht="113" thickTop="1" thickBot="1" x14ac:dyDescent="0.45">
      <c r="A60" s="7">
        <f t="shared" si="3"/>
        <v>57</v>
      </c>
      <c r="B60" s="8" t="s">
        <v>613</v>
      </c>
      <c r="C60" s="8" t="s">
        <v>307</v>
      </c>
      <c r="D60" s="8" t="s">
        <v>309</v>
      </c>
      <c r="E60" s="8" t="s">
        <v>308</v>
      </c>
      <c r="F60" s="8" t="s">
        <v>310</v>
      </c>
      <c r="G60" s="10" t="b">
        <v>1</v>
      </c>
      <c r="H60" s="10" t="b">
        <v>1</v>
      </c>
      <c r="I60" s="11"/>
      <c r="J60" s="11" t="s">
        <v>533</v>
      </c>
      <c r="K60" s="11" t="s">
        <v>533</v>
      </c>
      <c r="L60" s="11"/>
      <c r="M60" s="11"/>
      <c r="N60" s="11"/>
      <c r="O60" s="11"/>
      <c r="P60" s="11"/>
      <c r="Q60" s="11"/>
      <c r="R60" s="11"/>
      <c r="S60" s="11" t="s">
        <v>533</v>
      </c>
      <c r="T60" s="11" t="s">
        <v>533</v>
      </c>
      <c r="U60" s="11" t="s">
        <v>533</v>
      </c>
      <c r="V60" s="11"/>
      <c r="W60" s="11"/>
      <c r="X60" s="11"/>
      <c r="Y60" s="11"/>
      <c r="Z60" s="11" t="s">
        <v>533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2"/>
      <c r="AQ60" s="11" t="s">
        <v>533</v>
      </c>
      <c r="AR60" s="12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>
        <f t="shared" si="4"/>
        <v>1</v>
      </c>
      <c r="BF60" s="11"/>
    </row>
    <row r="61" spans="1:58" ht="97" thickTop="1" thickBot="1" x14ac:dyDescent="0.45">
      <c r="A61" s="7">
        <f t="shared" si="3"/>
        <v>58</v>
      </c>
      <c r="B61" s="8" t="s">
        <v>317</v>
      </c>
      <c r="C61" s="8" t="s">
        <v>62</v>
      </c>
      <c r="D61" s="8" t="s">
        <v>316</v>
      </c>
      <c r="E61" s="8" t="s">
        <v>315</v>
      </c>
      <c r="F61" s="8" t="s">
        <v>314</v>
      </c>
      <c r="G61" s="10" t="b">
        <v>1</v>
      </c>
      <c r="H61" s="10" t="b">
        <v>1</v>
      </c>
      <c r="I61" s="11"/>
      <c r="J61" s="11"/>
      <c r="K61" s="11"/>
      <c r="L61" s="11"/>
      <c r="M61" s="11"/>
      <c r="N61" s="11"/>
      <c r="O61" s="11" t="s">
        <v>533</v>
      </c>
      <c r="P61" s="11" t="s">
        <v>533</v>
      </c>
      <c r="Q61" s="11"/>
      <c r="R61" s="11"/>
      <c r="S61" s="11"/>
      <c r="T61" s="11"/>
      <c r="U61" s="11"/>
      <c r="V61" s="11" t="s">
        <v>533</v>
      </c>
      <c r="W61" s="11"/>
      <c r="X61" s="11"/>
      <c r="Y61" s="11"/>
      <c r="Z61" s="11"/>
      <c r="AA61" s="11" t="s">
        <v>533</v>
      </c>
      <c r="AB61" s="11"/>
      <c r="AC61" s="11"/>
      <c r="AD61" s="11" t="s">
        <v>533</v>
      </c>
      <c r="AE61" s="11" t="s">
        <v>533</v>
      </c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2"/>
      <c r="AQ61" s="12"/>
      <c r="AR61" s="12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>
        <f t="shared" si="4"/>
        <v>1</v>
      </c>
      <c r="BF61" s="11"/>
    </row>
    <row r="62" spans="1:58" ht="81" thickTop="1" thickBot="1" x14ac:dyDescent="0.45">
      <c r="A62" s="7">
        <f t="shared" si="3"/>
        <v>59</v>
      </c>
      <c r="B62" s="8" t="s">
        <v>614</v>
      </c>
      <c r="C62" s="8" t="s">
        <v>323</v>
      </c>
      <c r="D62" s="8" t="s">
        <v>322</v>
      </c>
      <c r="E62" s="8" t="s">
        <v>324</v>
      </c>
      <c r="F62" s="8" t="s">
        <v>333</v>
      </c>
      <c r="G62" s="10" t="b">
        <v>1</v>
      </c>
      <c r="H62" s="10" t="b">
        <v>1</v>
      </c>
      <c r="I62" s="11"/>
      <c r="J62" s="11"/>
      <c r="K62" s="11"/>
      <c r="L62" s="11" t="s">
        <v>533</v>
      </c>
      <c r="M62" s="11"/>
      <c r="N62" s="11"/>
      <c r="O62" s="11"/>
      <c r="P62" s="11"/>
      <c r="Q62" s="11"/>
      <c r="R62" s="11"/>
      <c r="S62" s="11"/>
      <c r="T62" s="11" t="s">
        <v>533</v>
      </c>
      <c r="U62" s="11" t="s">
        <v>533</v>
      </c>
      <c r="V62" s="11" t="s">
        <v>533</v>
      </c>
      <c r="W62" s="11"/>
      <c r="X62" s="11"/>
      <c r="Y62" s="11" t="s">
        <v>533</v>
      </c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2"/>
      <c r="AQ62" s="12"/>
      <c r="AR62" s="12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>
        <f t="shared" si="4"/>
        <v>1</v>
      </c>
      <c r="BF62" s="11"/>
    </row>
    <row r="63" spans="1:58" ht="65" thickTop="1" thickBot="1" x14ac:dyDescent="0.45">
      <c r="A63" s="7">
        <f t="shared" si="3"/>
        <v>60</v>
      </c>
      <c r="B63" s="8" t="s">
        <v>330</v>
      </c>
      <c r="C63" s="8" t="s">
        <v>120</v>
      </c>
      <c r="D63" s="8" t="s">
        <v>331</v>
      </c>
      <c r="E63" s="8" t="s">
        <v>329</v>
      </c>
      <c r="F63" s="8" t="s">
        <v>332</v>
      </c>
      <c r="G63" s="10" t="b">
        <v>1</v>
      </c>
      <c r="H63" s="10" t="b">
        <v>1</v>
      </c>
      <c r="I63" s="11"/>
      <c r="J63" s="11"/>
      <c r="K63" s="11"/>
      <c r="L63" s="11" t="s">
        <v>533</v>
      </c>
      <c r="M63" s="11"/>
      <c r="N63" s="11"/>
      <c r="O63" s="11"/>
      <c r="P63" s="11"/>
      <c r="Q63" s="11"/>
      <c r="R63" s="11"/>
      <c r="S63" s="11"/>
      <c r="T63" s="11"/>
      <c r="U63" s="11" t="s">
        <v>533</v>
      </c>
      <c r="V63" s="11" t="s">
        <v>533</v>
      </c>
      <c r="W63" s="11"/>
      <c r="X63" s="11"/>
      <c r="Y63" s="11" t="s">
        <v>533</v>
      </c>
      <c r="Z63" s="11"/>
      <c r="AA63" s="11"/>
      <c r="AB63" s="11"/>
      <c r="AC63" s="11" t="s">
        <v>533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2"/>
      <c r="AQ63" s="12"/>
      <c r="AR63" s="12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>
        <f t="shared" si="4"/>
        <v>1</v>
      </c>
      <c r="BF63" s="11"/>
    </row>
    <row r="64" spans="1:58" ht="129" thickTop="1" thickBot="1" x14ac:dyDescent="0.45">
      <c r="A64" s="7">
        <f t="shared" si="3"/>
        <v>61</v>
      </c>
      <c r="B64" s="8" t="s">
        <v>340</v>
      </c>
      <c r="C64" s="8" t="s">
        <v>342</v>
      </c>
      <c r="D64" s="8" t="s">
        <v>341</v>
      </c>
      <c r="E64" s="8"/>
      <c r="F64" s="8" t="s">
        <v>343</v>
      </c>
      <c r="G64" s="10" t="b">
        <v>1</v>
      </c>
      <c r="H64" s="10" t="b">
        <v>1</v>
      </c>
      <c r="I64" s="11"/>
      <c r="J64" s="11"/>
      <c r="K64" s="11"/>
      <c r="L64" s="11"/>
      <c r="M64" s="11"/>
      <c r="N64" s="11"/>
      <c r="O64" s="11"/>
      <c r="P64" s="11"/>
      <c r="Q64" s="11" t="s">
        <v>533</v>
      </c>
      <c r="R64" s="11"/>
      <c r="S64" s="11" t="s">
        <v>533</v>
      </c>
      <c r="T64" s="11"/>
      <c r="U64" s="11" t="s">
        <v>533</v>
      </c>
      <c r="V64" s="11" t="s">
        <v>533</v>
      </c>
      <c r="W64" s="11"/>
      <c r="X64" s="11" t="s">
        <v>533</v>
      </c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2"/>
      <c r="AQ64" s="12"/>
      <c r="AR64" s="12"/>
      <c r="AS64" s="11"/>
      <c r="AT64" s="11" t="s">
        <v>533</v>
      </c>
      <c r="AU64" s="11"/>
      <c r="AV64" s="11"/>
      <c r="AW64" s="11"/>
      <c r="AX64" s="11"/>
      <c r="AY64" s="11"/>
      <c r="AZ64" s="11"/>
      <c r="BA64" s="11"/>
      <c r="BB64" s="11" t="s">
        <v>533</v>
      </c>
      <c r="BC64" s="11"/>
      <c r="BD64" s="11"/>
      <c r="BE64" s="11">
        <f t="shared" si="4"/>
        <v>1</v>
      </c>
      <c r="BF64" s="11"/>
    </row>
    <row r="65" spans="1:58" ht="81" thickTop="1" thickBot="1" x14ac:dyDescent="0.45">
      <c r="A65" s="7">
        <f t="shared" si="3"/>
        <v>62</v>
      </c>
      <c r="B65" s="8" t="s">
        <v>344</v>
      </c>
      <c r="C65" s="8"/>
      <c r="D65" s="8" t="s">
        <v>346</v>
      </c>
      <c r="E65" s="8" t="s">
        <v>345</v>
      </c>
      <c r="F65" s="8" t="s">
        <v>347</v>
      </c>
      <c r="G65" s="10" t="b">
        <v>1</v>
      </c>
      <c r="H65" s="10" t="b">
        <v>1</v>
      </c>
      <c r="I65" s="11"/>
      <c r="J65" s="11"/>
      <c r="K65" s="11"/>
      <c r="L65" s="11"/>
      <c r="M65" s="11"/>
      <c r="N65" s="11"/>
      <c r="O65" s="11"/>
      <c r="P65" s="11" t="s">
        <v>533</v>
      </c>
      <c r="Q65" s="11"/>
      <c r="R65" s="11"/>
      <c r="S65" s="11"/>
      <c r="T65" s="11" t="s">
        <v>533</v>
      </c>
      <c r="U65" s="11" t="s">
        <v>533</v>
      </c>
      <c r="V65" s="11"/>
      <c r="W65" s="11"/>
      <c r="X65" s="11"/>
      <c r="Y65" s="11"/>
      <c r="Z65" s="11"/>
      <c r="AA65" s="11"/>
      <c r="AB65" s="11"/>
      <c r="AC65" s="11" t="s">
        <v>533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2"/>
      <c r="AQ65" s="12"/>
      <c r="AR65" s="12"/>
      <c r="AS65" s="11"/>
      <c r="AT65" s="11" t="s">
        <v>533</v>
      </c>
      <c r="AU65" s="11"/>
      <c r="AV65" s="11"/>
      <c r="AW65" s="11"/>
      <c r="AX65" s="11"/>
      <c r="AY65" s="11"/>
      <c r="AZ65" s="11"/>
      <c r="BA65" s="11"/>
      <c r="BB65" s="11"/>
      <c r="BC65" s="11" t="s">
        <v>533</v>
      </c>
      <c r="BD65" s="11"/>
      <c r="BE65" s="11">
        <f t="shared" si="4"/>
        <v>1</v>
      </c>
      <c r="BF65" s="11"/>
    </row>
    <row r="66" spans="1:58" ht="65" thickTop="1" thickBot="1" x14ac:dyDescent="0.45">
      <c r="A66" s="7">
        <f t="shared" si="3"/>
        <v>63</v>
      </c>
      <c r="B66" s="30" t="s">
        <v>357</v>
      </c>
      <c r="C66" s="8" t="s">
        <v>356</v>
      </c>
      <c r="D66" s="8" t="s">
        <v>358</v>
      </c>
      <c r="E66" s="8" t="s">
        <v>359</v>
      </c>
      <c r="F66" s="8" t="s">
        <v>363</v>
      </c>
      <c r="G66" s="10" t="b">
        <v>1</v>
      </c>
      <c r="H66" s="10" t="b">
        <v>1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 t="s">
        <v>533</v>
      </c>
      <c r="W66" s="11"/>
      <c r="X66" s="11"/>
      <c r="Y66" s="11"/>
      <c r="Z66" s="11"/>
      <c r="AA66" s="11" t="s">
        <v>533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 t="s">
        <v>533</v>
      </c>
      <c r="AN66" s="11"/>
      <c r="AO66" s="11"/>
      <c r="AP66" s="12"/>
      <c r="AQ66" s="12"/>
      <c r="AR66" s="12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>
        <f t="shared" si="4"/>
        <v>1</v>
      </c>
      <c r="BF66" s="11"/>
    </row>
    <row r="67" spans="1:58" ht="81" thickTop="1" thickBot="1" x14ac:dyDescent="0.45">
      <c r="A67" s="7">
        <f t="shared" si="3"/>
        <v>64</v>
      </c>
      <c r="B67" s="8" t="s">
        <v>360</v>
      </c>
      <c r="C67" s="8" t="s">
        <v>29</v>
      </c>
      <c r="D67" s="8" t="s">
        <v>362</v>
      </c>
      <c r="E67" s="8" t="s">
        <v>361</v>
      </c>
      <c r="F67" s="8" t="s">
        <v>416</v>
      </c>
      <c r="G67" s="10" t="b">
        <v>1</v>
      </c>
      <c r="H67" s="10" t="b">
        <v>1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 t="s">
        <v>533</v>
      </c>
      <c r="T67" s="11" t="s">
        <v>533</v>
      </c>
      <c r="U67" s="11" t="s">
        <v>533</v>
      </c>
      <c r="V67" s="11" t="s">
        <v>533</v>
      </c>
      <c r="W67" s="11"/>
      <c r="X67" s="11"/>
      <c r="Y67" s="11"/>
      <c r="Z67" s="11" t="s">
        <v>533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2"/>
      <c r="AQ67" s="12"/>
      <c r="AR67" s="12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>
        <f t="shared" si="4"/>
        <v>1</v>
      </c>
      <c r="BF67" s="11"/>
    </row>
    <row r="68" spans="1:58" ht="113" thickTop="1" thickBot="1" x14ac:dyDescent="0.45">
      <c r="A68" s="7">
        <f t="shared" si="3"/>
        <v>65</v>
      </c>
      <c r="B68" s="8" t="s">
        <v>364</v>
      </c>
      <c r="C68" s="8" t="s">
        <v>120</v>
      </c>
      <c r="D68" s="8" t="s">
        <v>365</v>
      </c>
      <c r="E68" s="8" t="s">
        <v>367</v>
      </c>
      <c r="F68" s="8" t="s">
        <v>366</v>
      </c>
      <c r="G68" s="10" t="b">
        <v>1</v>
      </c>
      <c r="H68" s="10" t="b">
        <v>1</v>
      </c>
      <c r="I68" s="11"/>
      <c r="J68" s="11"/>
      <c r="K68" s="11"/>
      <c r="L68" s="11"/>
      <c r="M68" s="11"/>
      <c r="N68" s="11"/>
      <c r="O68" s="11" t="s">
        <v>533</v>
      </c>
      <c r="P68" s="11" t="s">
        <v>533</v>
      </c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 t="s">
        <v>533</v>
      </c>
      <c r="AB68" s="11"/>
      <c r="AC68" s="11"/>
      <c r="AD68" s="11"/>
      <c r="AE68" s="11" t="s">
        <v>533</v>
      </c>
      <c r="AF68" s="11"/>
      <c r="AG68" s="11"/>
      <c r="AH68" s="11"/>
      <c r="AI68" s="11"/>
      <c r="AJ68" s="11"/>
      <c r="AK68" s="11"/>
      <c r="AL68" s="11"/>
      <c r="AM68" s="11"/>
      <c r="AN68" s="11" t="s">
        <v>533</v>
      </c>
      <c r="AO68" s="11"/>
      <c r="AP68" s="12"/>
      <c r="AQ68" s="12"/>
      <c r="AR68" s="12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>
        <f t="shared" si="4"/>
        <v>1</v>
      </c>
      <c r="BF68" s="11"/>
    </row>
    <row r="69" spans="1:58" ht="145" thickTop="1" thickBot="1" x14ac:dyDescent="0.45">
      <c r="A69" s="7">
        <f t="shared" si="3"/>
        <v>66</v>
      </c>
      <c r="B69" s="30" t="s">
        <v>370</v>
      </c>
      <c r="C69" s="30"/>
      <c r="D69" s="30"/>
      <c r="E69" s="30" t="s">
        <v>369</v>
      </c>
      <c r="F69" s="30" t="s">
        <v>368</v>
      </c>
      <c r="G69" s="10" t="b">
        <v>1</v>
      </c>
      <c r="H69" s="10" t="b">
        <v>1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 t="s">
        <v>533</v>
      </c>
      <c r="W69" s="11"/>
      <c r="X69" s="11"/>
      <c r="Y69" s="11"/>
      <c r="Z69" s="11"/>
      <c r="AA69" s="11" t="s">
        <v>533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2"/>
      <c r="AQ69" s="12"/>
      <c r="AR69" s="12"/>
      <c r="AS69" s="11" t="s">
        <v>533</v>
      </c>
      <c r="AT69" s="11" t="s">
        <v>533</v>
      </c>
      <c r="AU69" s="11"/>
      <c r="AV69" s="11"/>
      <c r="AW69" s="11" t="s">
        <v>533</v>
      </c>
      <c r="AX69" s="11"/>
      <c r="AY69" s="11"/>
      <c r="AZ69" s="11"/>
      <c r="BA69" s="11"/>
      <c r="BB69" s="11"/>
      <c r="BC69" s="11"/>
      <c r="BD69" s="11"/>
      <c r="BE69" s="11">
        <f t="shared" si="4"/>
        <v>1</v>
      </c>
      <c r="BF69" s="11"/>
    </row>
    <row r="70" spans="1:58" ht="81" thickTop="1" thickBot="1" x14ac:dyDescent="0.45">
      <c r="A70" s="7">
        <f t="shared" si="3"/>
        <v>67</v>
      </c>
      <c r="B70" s="8" t="s">
        <v>371</v>
      </c>
      <c r="C70" s="8" t="s">
        <v>15</v>
      </c>
      <c r="D70" s="8" t="s">
        <v>373</v>
      </c>
      <c r="E70" s="8" t="s">
        <v>372</v>
      </c>
      <c r="F70" s="8" t="s">
        <v>374</v>
      </c>
      <c r="G70" s="10" t="b">
        <v>1</v>
      </c>
      <c r="H70" s="10" t="b">
        <v>1</v>
      </c>
      <c r="I70" s="11"/>
      <c r="J70" s="11" t="s">
        <v>533</v>
      </c>
      <c r="K70" s="11" t="s">
        <v>533</v>
      </c>
      <c r="L70" s="11"/>
      <c r="M70" s="11"/>
      <c r="N70" s="11"/>
      <c r="O70" s="11"/>
      <c r="P70" s="11"/>
      <c r="Q70" s="11"/>
      <c r="R70" s="11" t="s">
        <v>533</v>
      </c>
      <c r="S70" s="11"/>
      <c r="T70" s="11"/>
      <c r="U70" s="11"/>
      <c r="V70" s="11" t="s">
        <v>533</v>
      </c>
      <c r="W70" s="11"/>
      <c r="X70" s="11"/>
      <c r="Y70" s="11"/>
      <c r="Z70" s="11" t="s">
        <v>533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2"/>
      <c r="AQ70" s="12"/>
      <c r="AR70" s="12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>
        <f t="shared" si="4"/>
        <v>1</v>
      </c>
      <c r="BF70" s="11"/>
    </row>
    <row r="71" spans="1:58" ht="81" thickTop="1" thickBot="1" x14ac:dyDescent="0.45">
      <c r="A71" s="7">
        <f t="shared" si="3"/>
        <v>68</v>
      </c>
      <c r="B71" s="8" t="s">
        <v>375</v>
      </c>
      <c r="C71" s="8" t="s">
        <v>206</v>
      </c>
      <c r="D71" s="8" t="s">
        <v>378</v>
      </c>
      <c r="E71" s="8" t="s">
        <v>376</v>
      </c>
      <c r="F71" s="8" t="s">
        <v>377</v>
      </c>
      <c r="G71" s="10" t="b">
        <v>1</v>
      </c>
      <c r="H71" s="10" t="b">
        <v>1</v>
      </c>
      <c r="I71" s="11"/>
      <c r="J71" s="11"/>
      <c r="K71" s="11"/>
      <c r="L71" s="11"/>
      <c r="M71" s="11"/>
      <c r="N71" s="11"/>
      <c r="O71" s="11" t="s">
        <v>533</v>
      </c>
      <c r="P71" s="11"/>
      <c r="Q71" s="11" t="s">
        <v>533</v>
      </c>
      <c r="R71" s="11"/>
      <c r="S71" s="11"/>
      <c r="T71" s="11" t="s">
        <v>533</v>
      </c>
      <c r="U71" s="11"/>
      <c r="V71" s="11"/>
      <c r="W71" s="11"/>
      <c r="X71" s="11" t="s">
        <v>533</v>
      </c>
      <c r="Y71" s="11"/>
      <c r="Z71" s="11"/>
      <c r="AA71" s="11"/>
      <c r="AB71" s="11"/>
      <c r="AC71" s="11"/>
      <c r="AD71" s="11"/>
      <c r="AE71" s="11" t="s">
        <v>533</v>
      </c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2"/>
      <c r="AQ71" s="12"/>
      <c r="AR71" s="12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>
        <f t="shared" si="4"/>
        <v>1</v>
      </c>
      <c r="BF71" s="11"/>
    </row>
    <row r="72" spans="1:58" ht="129" thickTop="1" thickBot="1" x14ac:dyDescent="0.45">
      <c r="A72" s="7">
        <f t="shared" si="3"/>
        <v>69</v>
      </c>
      <c r="B72" s="30" t="s">
        <v>615</v>
      </c>
      <c r="C72" s="8" t="s">
        <v>251</v>
      </c>
      <c r="D72" s="8" t="s">
        <v>381</v>
      </c>
      <c r="E72" s="8" t="s">
        <v>379</v>
      </c>
      <c r="F72" s="8" t="s">
        <v>380</v>
      </c>
      <c r="G72" s="10" t="b">
        <v>1</v>
      </c>
      <c r="H72" s="10" t="b">
        <v>1</v>
      </c>
      <c r="I72" s="11"/>
      <c r="J72" s="11"/>
      <c r="K72" s="11"/>
      <c r="L72" s="11"/>
      <c r="M72" s="11"/>
      <c r="N72" s="11"/>
      <c r="O72" s="11" t="s">
        <v>533</v>
      </c>
      <c r="P72" s="11" t="s">
        <v>533</v>
      </c>
      <c r="Q72" s="11" t="s">
        <v>533</v>
      </c>
      <c r="R72" s="11"/>
      <c r="S72" s="11"/>
      <c r="T72" s="11" t="s">
        <v>533</v>
      </c>
      <c r="U72" s="11" t="s">
        <v>533</v>
      </c>
      <c r="V72" s="11"/>
      <c r="W72" s="11"/>
      <c r="X72" s="11" t="s">
        <v>533</v>
      </c>
      <c r="Y72" s="11"/>
      <c r="Z72" s="11"/>
      <c r="AA72" s="11"/>
      <c r="AB72" s="11"/>
      <c r="AC72" s="11" t="s">
        <v>533</v>
      </c>
      <c r="AD72" s="11" t="s">
        <v>533</v>
      </c>
      <c r="AE72" s="11" t="s">
        <v>533</v>
      </c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2"/>
      <c r="AQ72" s="12"/>
      <c r="AR72" s="12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>
        <f t="shared" si="4"/>
        <v>1</v>
      </c>
      <c r="BF72" s="11"/>
    </row>
    <row r="73" spans="1:58" ht="81" thickTop="1" thickBot="1" x14ac:dyDescent="0.45">
      <c r="A73" s="7">
        <f t="shared" si="3"/>
        <v>70</v>
      </c>
      <c r="B73" s="8" t="s">
        <v>584</v>
      </c>
      <c r="C73" s="8" t="s">
        <v>385</v>
      </c>
      <c r="D73" s="8" t="s">
        <v>384</v>
      </c>
      <c r="E73" s="8" t="s">
        <v>382</v>
      </c>
      <c r="F73" s="8" t="s">
        <v>383</v>
      </c>
      <c r="G73" s="10" t="b">
        <v>1</v>
      </c>
      <c r="H73" s="10" t="b">
        <v>1</v>
      </c>
      <c r="I73" s="34"/>
      <c r="J73" s="11" t="s">
        <v>533</v>
      </c>
      <c r="K73" s="11" t="s">
        <v>533</v>
      </c>
      <c r="L73" s="11"/>
      <c r="M73" s="11" t="s">
        <v>533</v>
      </c>
      <c r="N73" s="11"/>
      <c r="O73" s="11"/>
      <c r="P73" s="11" t="s">
        <v>533</v>
      </c>
      <c r="Q73" s="11"/>
      <c r="R73" s="11"/>
      <c r="S73" s="11"/>
      <c r="T73" s="11"/>
      <c r="U73" s="11"/>
      <c r="V73" s="11"/>
      <c r="W73" s="11" t="s">
        <v>533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2"/>
      <c r="AQ73" s="12"/>
      <c r="AR73" s="12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>
        <f t="shared" si="4"/>
        <v>1</v>
      </c>
      <c r="BF73" s="11"/>
    </row>
    <row r="74" spans="1:58" ht="97" thickTop="1" thickBot="1" x14ac:dyDescent="0.45">
      <c r="A74" s="7">
        <f t="shared" si="3"/>
        <v>71</v>
      </c>
      <c r="B74" s="8" t="s">
        <v>386</v>
      </c>
      <c r="C74" s="8" t="s">
        <v>24</v>
      </c>
      <c r="D74" s="8" t="s">
        <v>389</v>
      </c>
      <c r="E74" s="8" t="s">
        <v>387</v>
      </c>
      <c r="F74" s="8" t="s">
        <v>388</v>
      </c>
      <c r="G74" s="10" t="b">
        <v>1</v>
      </c>
      <c r="H74" s="10" t="b">
        <v>1</v>
      </c>
      <c r="I74" s="11"/>
      <c r="J74" s="11"/>
      <c r="K74" s="11"/>
      <c r="L74" s="11"/>
      <c r="M74" s="11"/>
      <c r="N74" s="11"/>
      <c r="O74" s="11"/>
      <c r="P74" s="11"/>
      <c r="Q74" s="11" t="s">
        <v>533</v>
      </c>
      <c r="R74" s="11"/>
      <c r="S74" s="11"/>
      <c r="T74" s="11" t="s">
        <v>533</v>
      </c>
      <c r="U74" s="11" t="s">
        <v>533</v>
      </c>
      <c r="V74" s="11" t="s">
        <v>533</v>
      </c>
      <c r="W74" s="11"/>
      <c r="X74" s="11" t="s">
        <v>533</v>
      </c>
      <c r="Y74" s="11"/>
      <c r="Z74" s="11"/>
      <c r="AA74" s="11"/>
      <c r="AB74" s="11"/>
      <c r="AC74" s="11"/>
      <c r="AD74" s="11" t="s">
        <v>533</v>
      </c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2"/>
      <c r="AQ74" s="12"/>
      <c r="AR74" s="12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>
        <f t="shared" si="4"/>
        <v>1</v>
      </c>
      <c r="BF74" s="11"/>
    </row>
    <row r="75" spans="1:58" ht="113" thickTop="1" thickBot="1" x14ac:dyDescent="0.45">
      <c r="A75" s="7">
        <f t="shared" si="3"/>
        <v>72</v>
      </c>
      <c r="B75" s="8" t="s">
        <v>616</v>
      </c>
      <c r="C75" s="8" t="s">
        <v>39</v>
      </c>
      <c r="D75" s="8" t="s">
        <v>390</v>
      </c>
      <c r="E75" s="8" t="s">
        <v>391</v>
      </c>
      <c r="F75" s="8" t="s">
        <v>392</v>
      </c>
      <c r="G75" s="10" t="b">
        <v>1</v>
      </c>
      <c r="H75" s="10" t="b">
        <v>1</v>
      </c>
      <c r="I75" s="11" t="s">
        <v>533</v>
      </c>
      <c r="J75" s="11"/>
      <c r="K75" s="11"/>
      <c r="L75" s="11"/>
      <c r="M75" s="11"/>
      <c r="N75" s="11"/>
      <c r="O75" s="11" t="s">
        <v>533</v>
      </c>
      <c r="P75" s="11"/>
      <c r="Q75" s="11" t="s">
        <v>533</v>
      </c>
      <c r="R75" s="11"/>
      <c r="S75" s="11"/>
      <c r="T75" s="11" t="s">
        <v>533</v>
      </c>
      <c r="U75" s="11"/>
      <c r="V75" s="11"/>
      <c r="W75" s="11"/>
      <c r="X75" s="11" t="s">
        <v>533</v>
      </c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2"/>
      <c r="AQ75" s="12"/>
      <c r="AR75" s="12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>
        <f t="shared" si="4"/>
        <v>1</v>
      </c>
      <c r="BF75" s="11"/>
    </row>
    <row r="76" spans="1:58" ht="97" thickTop="1" thickBot="1" x14ac:dyDescent="0.45">
      <c r="A76" s="7">
        <f t="shared" si="3"/>
        <v>73</v>
      </c>
      <c r="B76" s="8" t="s">
        <v>397</v>
      </c>
      <c r="C76" s="8" t="s">
        <v>251</v>
      </c>
      <c r="D76" s="16" t="s">
        <v>400</v>
      </c>
      <c r="E76" s="8" t="s">
        <v>398</v>
      </c>
      <c r="F76" s="8" t="s">
        <v>399</v>
      </c>
      <c r="G76" s="10" t="b">
        <v>1</v>
      </c>
      <c r="H76" s="10" t="b">
        <v>1</v>
      </c>
      <c r="I76" s="11" t="s">
        <v>533</v>
      </c>
      <c r="J76" s="11"/>
      <c r="K76" s="11" t="s">
        <v>533</v>
      </c>
      <c r="L76" s="11"/>
      <c r="M76" s="11"/>
      <c r="N76" s="11"/>
      <c r="O76" s="11"/>
      <c r="P76" s="11"/>
      <c r="Q76" s="11"/>
      <c r="R76" s="11"/>
      <c r="S76" s="11"/>
      <c r="T76" s="11" t="s">
        <v>533</v>
      </c>
      <c r="U76" s="11"/>
      <c r="V76" s="11" t="s">
        <v>533</v>
      </c>
      <c r="W76" s="11"/>
      <c r="X76" s="11"/>
      <c r="Y76" s="11"/>
      <c r="Z76" s="11"/>
      <c r="AA76" s="11"/>
      <c r="AB76" s="11"/>
      <c r="AC76" s="11"/>
      <c r="AD76" s="11"/>
      <c r="AE76" s="11" t="s">
        <v>533</v>
      </c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2"/>
      <c r="AQ76" s="12"/>
      <c r="AR76" s="12"/>
      <c r="AS76" s="11"/>
      <c r="AT76" s="11"/>
      <c r="AU76" s="11" t="s">
        <v>533</v>
      </c>
      <c r="AV76" s="11"/>
      <c r="AW76" s="11"/>
      <c r="AX76" s="11"/>
      <c r="AY76" s="11"/>
      <c r="AZ76" s="11"/>
      <c r="BA76" s="11"/>
      <c r="BB76" s="11"/>
      <c r="BC76" s="11"/>
      <c r="BD76" s="11"/>
      <c r="BE76" s="11">
        <f t="shared" si="4"/>
        <v>1</v>
      </c>
      <c r="BF76" s="11"/>
    </row>
    <row r="77" spans="1:58" ht="49" thickTop="1" thickBot="1" x14ac:dyDescent="0.45">
      <c r="A77" s="7">
        <f t="shared" si="3"/>
        <v>74</v>
      </c>
      <c r="B77" s="8" t="s">
        <v>617</v>
      </c>
      <c r="C77" s="8" t="s">
        <v>15</v>
      </c>
      <c r="D77" s="16" t="s">
        <v>407</v>
      </c>
      <c r="E77" s="8" t="s">
        <v>406</v>
      </c>
      <c r="F77" s="30" t="s">
        <v>633</v>
      </c>
      <c r="G77" s="10" t="b">
        <v>1</v>
      </c>
      <c r="H77" s="10" t="b">
        <v>1</v>
      </c>
      <c r="I77" s="11"/>
      <c r="J77" s="11"/>
      <c r="K77" s="11"/>
      <c r="L77" s="11"/>
      <c r="M77" s="11" t="s">
        <v>533</v>
      </c>
      <c r="N77" s="11"/>
      <c r="O77" s="11"/>
      <c r="P77" s="11"/>
      <c r="Q77" s="11"/>
      <c r="R77" s="11"/>
      <c r="S77" s="11"/>
      <c r="T77" s="11"/>
      <c r="U77" s="11" t="s">
        <v>533</v>
      </c>
      <c r="V77" s="11"/>
      <c r="W77" s="11" t="s">
        <v>533</v>
      </c>
      <c r="X77" s="11"/>
      <c r="Y77" s="11"/>
      <c r="Z77" s="11" t="s">
        <v>533</v>
      </c>
      <c r="AA77" s="11"/>
      <c r="AB77" s="11"/>
      <c r="AC77" s="11" t="s">
        <v>533</v>
      </c>
      <c r="AD77" s="11"/>
      <c r="AE77" s="11"/>
      <c r="AF77" s="11"/>
      <c r="AG77" s="11"/>
      <c r="AH77" s="11"/>
      <c r="AI77" s="11"/>
      <c r="AJ77" s="11" t="s">
        <v>533</v>
      </c>
      <c r="AK77" s="11"/>
      <c r="AL77" s="11"/>
      <c r="AM77" s="11"/>
      <c r="AN77" s="11"/>
      <c r="AO77" s="11"/>
      <c r="AP77" s="12"/>
      <c r="AQ77" s="12"/>
      <c r="AR77" s="12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>
        <f t="shared" si="4"/>
        <v>1</v>
      </c>
      <c r="BF77" s="11"/>
    </row>
    <row r="78" spans="1:58" ht="81" thickTop="1" thickBot="1" x14ac:dyDescent="0.45">
      <c r="A78" s="7">
        <f t="shared" si="3"/>
        <v>75</v>
      </c>
      <c r="B78" s="8" t="s">
        <v>409</v>
      </c>
      <c r="C78" s="8" t="s">
        <v>15</v>
      </c>
      <c r="D78" s="16" t="s">
        <v>410</v>
      </c>
      <c r="E78" s="8" t="s">
        <v>408</v>
      </c>
      <c r="F78" s="8" t="s">
        <v>411</v>
      </c>
      <c r="G78" s="10" t="b">
        <v>1</v>
      </c>
      <c r="H78" s="10" t="b">
        <v>1</v>
      </c>
      <c r="I78" s="11"/>
      <c r="J78" s="11"/>
      <c r="K78" s="11"/>
      <c r="L78" s="11"/>
      <c r="M78" s="11"/>
      <c r="N78" s="11"/>
      <c r="O78" s="11" t="s">
        <v>533</v>
      </c>
      <c r="P78" s="11"/>
      <c r="Q78" s="11"/>
      <c r="R78" s="11"/>
      <c r="S78" s="11" t="s">
        <v>533</v>
      </c>
      <c r="T78" s="11" t="s">
        <v>533</v>
      </c>
      <c r="U78" s="11" t="s">
        <v>533</v>
      </c>
      <c r="V78" s="11"/>
      <c r="W78" s="11"/>
      <c r="X78" s="11"/>
      <c r="Y78" s="11"/>
      <c r="Z78" s="11" t="s">
        <v>533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2"/>
      <c r="AQ78" s="12"/>
      <c r="AR78" s="12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>
        <f t="shared" si="4"/>
        <v>1</v>
      </c>
      <c r="BF78" s="11"/>
    </row>
    <row r="79" spans="1:58" ht="65" thickTop="1" thickBot="1" x14ac:dyDescent="0.45">
      <c r="A79" s="7">
        <f t="shared" si="3"/>
        <v>76</v>
      </c>
      <c r="B79" s="8" t="s">
        <v>412</v>
      </c>
      <c r="C79" s="8" t="s">
        <v>415</v>
      </c>
      <c r="D79" s="16" t="s">
        <v>414</v>
      </c>
      <c r="E79" s="8" t="s">
        <v>413</v>
      </c>
      <c r="F79" s="25" t="s">
        <v>439</v>
      </c>
      <c r="G79" s="10" t="b">
        <v>1</v>
      </c>
      <c r="H79" s="10" t="b">
        <v>1</v>
      </c>
      <c r="I79" s="11" t="s">
        <v>533</v>
      </c>
      <c r="J79" s="11" t="s">
        <v>533</v>
      </c>
      <c r="K79" s="11" t="s">
        <v>533</v>
      </c>
      <c r="L79" s="11"/>
      <c r="M79" s="11"/>
      <c r="N79" s="11"/>
      <c r="O79" s="11"/>
      <c r="P79" s="11"/>
      <c r="Q79" s="11"/>
      <c r="R79" s="11"/>
      <c r="S79" s="11"/>
      <c r="T79" s="11" t="s">
        <v>533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 t="s">
        <v>533</v>
      </c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2"/>
      <c r="AQ79" s="12"/>
      <c r="AR79" s="12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>
        <f t="shared" si="4"/>
        <v>1</v>
      </c>
      <c r="BF79" s="11"/>
    </row>
    <row r="80" spans="1:58" ht="129" thickTop="1" thickBot="1" x14ac:dyDescent="0.45">
      <c r="A80" s="7">
        <f t="shared" si="3"/>
        <v>77</v>
      </c>
      <c r="B80" s="8" t="s">
        <v>417</v>
      </c>
      <c r="C80" s="8" t="s">
        <v>418</v>
      </c>
      <c r="D80" s="16" t="s">
        <v>420</v>
      </c>
      <c r="E80" s="8" t="s">
        <v>419</v>
      </c>
      <c r="F80" s="8" t="s">
        <v>421</v>
      </c>
      <c r="G80" s="10" t="b">
        <v>1</v>
      </c>
      <c r="H80" s="10" t="b">
        <v>1</v>
      </c>
      <c r="I80" s="11"/>
      <c r="J80" s="11"/>
      <c r="K80" s="11" t="s">
        <v>533</v>
      </c>
      <c r="L80" s="11" t="s">
        <v>533</v>
      </c>
      <c r="M80" s="11" t="s">
        <v>533</v>
      </c>
      <c r="N80" s="11"/>
      <c r="O80" s="11"/>
      <c r="P80" s="11"/>
      <c r="Q80" s="11"/>
      <c r="R80" s="11"/>
      <c r="S80" s="11" t="s">
        <v>533</v>
      </c>
      <c r="T80" s="11"/>
      <c r="U80" s="11" t="s">
        <v>533</v>
      </c>
      <c r="V80" s="11" t="s">
        <v>533</v>
      </c>
      <c r="W80" s="11"/>
      <c r="X80" s="11" t="s">
        <v>533</v>
      </c>
      <c r="Y80" s="11"/>
      <c r="Z80" s="11"/>
      <c r="AA80" s="11"/>
      <c r="AB80" s="11"/>
      <c r="AC80" s="11"/>
      <c r="AD80" s="11" t="s">
        <v>533</v>
      </c>
      <c r="AE80" s="11" t="s">
        <v>533</v>
      </c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2"/>
      <c r="AQ80" s="12"/>
      <c r="AR80" s="12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>
        <f t="shared" si="4"/>
        <v>1</v>
      </c>
      <c r="BF80" s="11"/>
    </row>
    <row r="81" spans="1:58" ht="97" thickTop="1" thickBot="1" x14ac:dyDescent="0.45">
      <c r="A81" s="7">
        <f t="shared" si="3"/>
        <v>78</v>
      </c>
      <c r="B81" s="8" t="s">
        <v>618</v>
      </c>
      <c r="C81" s="8" t="s">
        <v>120</v>
      </c>
      <c r="D81" s="16" t="s">
        <v>422</v>
      </c>
      <c r="E81" s="8" t="s">
        <v>424</v>
      </c>
      <c r="F81" s="8" t="s">
        <v>423</v>
      </c>
      <c r="G81" s="10" t="b">
        <v>1</v>
      </c>
      <c r="H81" s="10" t="b">
        <v>1</v>
      </c>
      <c r="I81" s="11" t="s">
        <v>533</v>
      </c>
      <c r="J81" s="11"/>
      <c r="K81" s="11" t="s">
        <v>533</v>
      </c>
      <c r="L81" s="11" t="s">
        <v>533</v>
      </c>
      <c r="M81" s="11"/>
      <c r="N81" s="11"/>
      <c r="O81" s="11"/>
      <c r="P81" s="11"/>
      <c r="Q81" s="11"/>
      <c r="R81" s="11"/>
      <c r="S81" s="11"/>
      <c r="T81" s="11"/>
      <c r="U81" s="11" t="s">
        <v>533</v>
      </c>
      <c r="V81" s="11" t="s">
        <v>533</v>
      </c>
      <c r="W81" s="11"/>
      <c r="X81" s="11"/>
      <c r="Y81" s="11" t="s">
        <v>533</v>
      </c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2"/>
      <c r="AQ81" s="12"/>
      <c r="AR81" s="12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>
        <f t="shared" si="4"/>
        <v>1</v>
      </c>
      <c r="BF81" s="11"/>
    </row>
    <row r="82" spans="1:58" ht="65" thickTop="1" thickBot="1" x14ac:dyDescent="0.45">
      <c r="A82" s="7">
        <f t="shared" si="3"/>
        <v>79</v>
      </c>
      <c r="B82" s="8" t="s">
        <v>430</v>
      </c>
      <c r="C82" s="8" t="s">
        <v>433</v>
      </c>
      <c r="D82" s="16" t="s">
        <v>432</v>
      </c>
      <c r="E82" s="8" t="s">
        <v>431</v>
      </c>
      <c r="F82" s="8" t="s">
        <v>434</v>
      </c>
      <c r="G82" s="10" t="b">
        <v>1</v>
      </c>
      <c r="H82" s="10" t="b">
        <v>1</v>
      </c>
      <c r="I82" s="11"/>
      <c r="J82" s="11"/>
      <c r="K82" s="11"/>
      <c r="L82" s="11"/>
      <c r="M82" s="11" t="s">
        <v>533</v>
      </c>
      <c r="N82" s="11"/>
      <c r="O82" s="11"/>
      <c r="P82" s="11" t="s">
        <v>533</v>
      </c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 t="s">
        <v>533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2"/>
      <c r="AQ82" s="12"/>
      <c r="AR82" s="12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>
        <f t="shared" si="4"/>
        <v>1</v>
      </c>
      <c r="BF82" s="11"/>
    </row>
    <row r="83" spans="1:58" ht="65" thickTop="1" thickBot="1" x14ac:dyDescent="0.45">
      <c r="A83" s="7">
        <f t="shared" si="3"/>
        <v>80</v>
      </c>
      <c r="B83" s="8" t="s">
        <v>440</v>
      </c>
      <c r="C83" s="8" t="s">
        <v>251</v>
      </c>
      <c r="D83" s="16" t="s">
        <v>442</v>
      </c>
      <c r="E83" s="8" t="s">
        <v>443</v>
      </c>
      <c r="F83" s="8" t="s">
        <v>441</v>
      </c>
      <c r="G83" s="10" t="b">
        <v>1</v>
      </c>
      <c r="H83" s="10" t="b">
        <v>1</v>
      </c>
      <c r="I83" s="11" t="s">
        <v>533</v>
      </c>
      <c r="J83" s="11"/>
      <c r="K83" s="11"/>
      <c r="L83" s="11"/>
      <c r="M83" s="11" t="s">
        <v>533</v>
      </c>
      <c r="N83" s="11"/>
      <c r="O83" s="11"/>
      <c r="P83" s="11" t="s">
        <v>533</v>
      </c>
      <c r="Q83" s="11"/>
      <c r="R83" s="11" t="s">
        <v>533</v>
      </c>
      <c r="S83" s="11"/>
      <c r="T83" s="11"/>
      <c r="U83" s="11"/>
      <c r="V83" s="11"/>
      <c r="W83" s="11"/>
      <c r="X83" s="11"/>
      <c r="Y83" s="11"/>
      <c r="Z83" s="11" t="s">
        <v>533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2"/>
      <c r="AQ83" s="12"/>
      <c r="AR83" s="12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>
        <f t="shared" si="4"/>
        <v>1</v>
      </c>
      <c r="BF83" s="11"/>
    </row>
    <row r="84" spans="1:58" ht="81" thickTop="1" thickBot="1" x14ac:dyDescent="0.45">
      <c r="A84" s="7">
        <f t="shared" si="3"/>
        <v>81</v>
      </c>
      <c r="B84" s="8" t="s">
        <v>444</v>
      </c>
      <c r="C84" s="8" t="s">
        <v>120</v>
      </c>
      <c r="D84" s="16" t="s">
        <v>446</v>
      </c>
      <c r="E84" s="8" t="s">
        <v>445</v>
      </c>
      <c r="F84" s="8" t="s">
        <v>447</v>
      </c>
      <c r="G84" s="10" t="b">
        <v>1</v>
      </c>
      <c r="H84" s="10" t="b">
        <v>1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533</v>
      </c>
      <c r="V84" s="11" t="s">
        <v>533</v>
      </c>
      <c r="W84" s="11"/>
      <c r="X84" s="11" t="s">
        <v>533</v>
      </c>
      <c r="Y84" s="11" t="s">
        <v>533</v>
      </c>
      <c r="Z84" s="11"/>
      <c r="AA84" s="11" t="s">
        <v>533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2"/>
      <c r="AQ84" s="12"/>
      <c r="AR84" s="12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>
        <f t="shared" ref="BE84:BE110" si="5">COUNTIF(G84:H84,TRUE)/COUNTA(G84:H84)</f>
        <v>1</v>
      </c>
      <c r="BF84" s="11"/>
    </row>
    <row r="85" spans="1:58" ht="113" thickTop="1" thickBot="1" x14ac:dyDescent="0.45">
      <c r="A85" s="7">
        <f t="shared" si="3"/>
        <v>82</v>
      </c>
      <c r="B85" s="8" t="s">
        <v>455</v>
      </c>
      <c r="C85" s="8" t="s">
        <v>243</v>
      </c>
      <c r="D85" s="16" t="s">
        <v>458</v>
      </c>
      <c r="E85" s="8" t="s">
        <v>457</v>
      </c>
      <c r="F85" s="8" t="s">
        <v>456</v>
      </c>
      <c r="G85" s="10" t="b">
        <v>1</v>
      </c>
      <c r="H85" s="10" t="b">
        <v>1</v>
      </c>
      <c r="I85" s="11" t="s">
        <v>533</v>
      </c>
      <c r="J85" s="11"/>
      <c r="K85" s="11" t="s">
        <v>533</v>
      </c>
      <c r="L85" s="11"/>
      <c r="M85" s="11" t="s">
        <v>533</v>
      </c>
      <c r="N85" s="11" t="s">
        <v>533</v>
      </c>
      <c r="O85" s="11"/>
      <c r="P85" s="11"/>
      <c r="Q85" s="11"/>
      <c r="R85" s="11"/>
      <c r="S85" s="11"/>
      <c r="T85" s="11"/>
      <c r="U85" s="11"/>
      <c r="V85" s="11"/>
      <c r="W85" s="11" t="s">
        <v>533</v>
      </c>
      <c r="X85" s="11"/>
      <c r="Y85" s="11"/>
      <c r="Z85" s="11"/>
      <c r="AA85" s="11"/>
      <c r="AB85" s="11" t="s">
        <v>533</v>
      </c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2"/>
      <c r="AQ85" s="12"/>
      <c r="AR85" s="12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>
        <f t="shared" si="5"/>
        <v>1</v>
      </c>
      <c r="BF85" s="11"/>
    </row>
    <row r="86" spans="1:58" ht="81" thickTop="1" thickBot="1" x14ac:dyDescent="0.45">
      <c r="A86" s="7">
        <f t="shared" si="3"/>
        <v>83</v>
      </c>
      <c r="B86" s="8" t="s">
        <v>459</v>
      </c>
      <c r="C86" s="8" t="s">
        <v>463</v>
      </c>
      <c r="D86" s="16" t="s">
        <v>462</v>
      </c>
      <c r="E86" s="8" t="s">
        <v>461</v>
      </c>
      <c r="F86" s="8" t="s">
        <v>460</v>
      </c>
      <c r="G86" s="10" t="b">
        <v>1</v>
      </c>
      <c r="H86" s="10" t="b">
        <v>1</v>
      </c>
      <c r="I86" s="11" t="s">
        <v>533</v>
      </c>
      <c r="J86" s="11" t="s">
        <v>533</v>
      </c>
      <c r="K86" s="11" t="s">
        <v>533</v>
      </c>
      <c r="L86" s="11" t="s">
        <v>533</v>
      </c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 t="s">
        <v>533</v>
      </c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2"/>
      <c r="AQ86" s="12"/>
      <c r="AR86" s="12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>
        <f t="shared" si="5"/>
        <v>1</v>
      </c>
      <c r="BF86" s="11"/>
    </row>
    <row r="87" spans="1:58" ht="81" thickTop="1" thickBot="1" x14ac:dyDescent="0.45">
      <c r="A87" s="7">
        <f t="shared" si="3"/>
        <v>84</v>
      </c>
      <c r="B87" s="8" t="s">
        <v>585</v>
      </c>
      <c r="C87" s="8" t="s">
        <v>202</v>
      </c>
      <c r="D87" s="16" t="s">
        <v>466</v>
      </c>
      <c r="E87" s="8" t="s">
        <v>465</v>
      </c>
      <c r="F87" s="8" t="s">
        <v>464</v>
      </c>
      <c r="G87" s="10" t="b">
        <v>1</v>
      </c>
      <c r="H87" s="10" t="b">
        <v>1</v>
      </c>
      <c r="I87" s="11"/>
      <c r="J87" s="11"/>
      <c r="K87" s="11"/>
      <c r="L87" s="11" t="s">
        <v>533</v>
      </c>
      <c r="M87" s="11"/>
      <c r="N87" s="11"/>
      <c r="O87" s="11"/>
      <c r="P87" s="11"/>
      <c r="Q87" s="11"/>
      <c r="R87" s="11"/>
      <c r="S87" s="11"/>
      <c r="T87" s="11"/>
      <c r="U87" s="11" t="s">
        <v>533</v>
      </c>
      <c r="V87" s="11" t="s">
        <v>533</v>
      </c>
      <c r="W87" s="11"/>
      <c r="X87" s="11"/>
      <c r="Y87" s="11" t="s">
        <v>533</v>
      </c>
      <c r="Z87" s="11" t="s">
        <v>533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2"/>
      <c r="AQ87" s="12"/>
      <c r="AR87" s="12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>
        <f t="shared" si="5"/>
        <v>1</v>
      </c>
      <c r="BF87" s="11"/>
    </row>
    <row r="88" spans="1:58" ht="81" thickTop="1" thickBot="1" x14ac:dyDescent="0.45">
      <c r="A88" s="7">
        <f t="shared" si="3"/>
        <v>85</v>
      </c>
      <c r="B88" s="8" t="s">
        <v>470</v>
      </c>
      <c r="C88" s="8" t="s">
        <v>95</v>
      </c>
      <c r="D88" s="16" t="s">
        <v>468</v>
      </c>
      <c r="E88" s="8" t="s">
        <v>469</v>
      </c>
      <c r="F88" s="8" t="s">
        <v>467</v>
      </c>
      <c r="G88" s="10" t="b">
        <v>1</v>
      </c>
      <c r="H88" s="10" t="b">
        <v>1</v>
      </c>
      <c r="I88" s="11"/>
      <c r="J88" s="11"/>
      <c r="K88" s="11"/>
      <c r="L88" s="11"/>
      <c r="M88" s="11"/>
      <c r="N88" s="11"/>
      <c r="O88" s="11" t="s">
        <v>533</v>
      </c>
      <c r="P88" s="11"/>
      <c r="Q88" s="11"/>
      <c r="R88" s="11" t="s">
        <v>533</v>
      </c>
      <c r="S88" s="11"/>
      <c r="T88" s="11"/>
      <c r="U88" s="11" t="s">
        <v>533</v>
      </c>
      <c r="V88" s="11"/>
      <c r="W88" s="11"/>
      <c r="X88" s="11"/>
      <c r="Y88" s="11"/>
      <c r="Z88" s="11"/>
      <c r="AA88" s="11"/>
      <c r="AB88" s="11"/>
      <c r="AC88" s="11"/>
      <c r="AD88" s="11" t="s">
        <v>533</v>
      </c>
      <c r="AE88" s="11" t="s">
        <v>533</v>
      </c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2"/>
      <c r="AQ88" s="12"/>
      <c r="AR88" s="12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>
        <f t="shared" si="5"/>
        <v>1</v>
      </c>
      <c r="BF88" s="11"/>
    </row>
    <row r="89" spans="1:58" ht="81" thickTop="1" thickBot="1" x14ac:dyDescent="0.45">
      <c r="A89" s="7">
        <f t="shared" si="3"/>
        <v>86</v>
      </c>
      <c r="B89" s="8" t="s">
        <v>619</v>
      </c>
      <c r="C89" s="8" t="s">
        <v>251</v>
      </c>
      <c r="D89" s="16" t="s">
        <v>471</v>
      </c>
      <c r="E89" s="8" t="s">
        <v>472</v>
      </c>
      <c r="F89" s="8" t="s">
        <v>530</v>
      </c>
      <c r="G89" s="10" t="b">
        <v>1</v>
      </c>
      <c r="H89" s="10" t="b">
        <v>1</v>
      </c>
      <c r="I89" s="11"/>
      <c r="J89" s="11"/>
      <c r="K89" s="11" t="s">
        <v>533</v>
      </c>
      <c r="L89" s="11"/>
      <c r="M89" s="11" t="s">
        <v>533</v>
      </c>
      <c r="N89" s="11"/>
      <c r="O89" s="11"/>
      <c r="P89" s="11"/>
      <c r="Q89" s="11"/>
      <c r="R89" s="11"/>
      <c r="S89" s="11"/>
      <c r="T89" s="11" t="s">
        <v>533</v>
      </c>
      <c r="U89" s="11"/>
      <c r="V89" s="11" t="s">
        <v>533</v>
      </c>
      <c r="W89" s="11"/>
      <c r="X89" s="11"/>
      <c r="Y89" s="11"/>
      <c r="Z89" s="11"/>
      <c r="AA89" s="11"/>
      <c r="AB89" s="11" t="s">
        <v>533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2"/>
      <c r="AQ89" s="12"/>
      <c r="AR89" s="12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>
        <f t="shared" si="5"/>
        <v>1</v>
      </c>
      <c r="BF89" s="11"/>
    </row>
    <row r="90" spans="1:58" ht="97" thickTop="1" thickBot="1" x14ac:dyDescent="0.45">
      <c r="A90" s="7">
        <f t="shared" si="3"/>
        <v>87</v>
      </c>
      <c r="B90" s="8" t="s">
        <v>620</v>
      </c>
      <c r="C90" s="8" t="s">
        <v>24</v>
      </c>
      <c r="D90" s="16" t="s">
        <v>474</v>
      </c>
      <c r="E90" s="8" t="s">
        <v>473</v>
      </c>
      <c r="F90" s="8" t="s">
        <v>475</v>
      </c>
      <c r="G90" s="10" t="b">
        <v>1</v>
      </c>
      <c r="H90" s="10" t="b">
        <v>1</v>
      </c>
      <c r="I90" s="11" t="s">
        <v>533</v>
      </c>
      <c r="J90" s="11"/>
      <c r="K90" s="11" t="s">
        <v>533</v>
      </c>
      <c r="L90" s="11"/>
      <c r="M90" s="11" t="s">
        <v>533</v>
      </c>
      <c r="N90" s="11"/>
      <c r="O90" s="11"/>
      <c r="P90" s="11"/>
      <c r="Q90" s="11"/>
      <c r="R90" s="11"/>
      <c r="S90" s="11"/>
      <c r="T90" s="11"/>
      <c r="U90" s="11"/>
      <c r="V90" s="11"/>
      <c r="W90" s="11" t="s">
        <v>533</v>
      </c>
      <c r="X90" s="11"/>
      <c r="Y90" s="11"/>
      <c r="Z90" s="11"/>
      <c r="AA90" s="11"/>
      <c r="AB90" s="11" t="s">
        <v>533</v>
      </c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2"/>
      <c r="AQ90" s="12"/>
      <c r="AR90" s="12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>
        <f t="shared" si="5"/>
        <v>1</v>
      </c>
      <c r="BF90" s="11"/>
    </row>
    <row r="91" spans="1:58" ht="81" thickTop="1" thickBot="1" x14ac:dyDescent="0.45">
      <c r="A91" s="7">
        <f t="shared" si="3"/>
        <v>88</v>
      </c>
      <c r="B91" s="8" t="s">
        <v>621</v>
      </c>
      <c r="C91" s="8" t="s">
        <v>111</v>
      </c>
      <c r="D91" s="16" t="s">
        <v>476</v>
      </c>
      <c r="E91" s="8" t="s">
        <v>477</v>
      </c>
      <c r="F91" s="8" t="s">
        <v>478</v>
      </c>
      <c r="G91" s="10" t="b">
        <v>1</v>
      </c>
      <c r="H91" s="10" t="b">
        <v>1</v>
      </c>
      <c r="I91" s="11"/>
      <c r="J91" s="11"/>
      <c r="K91" s="11"/>
      <c r="L91" s="11"/>
      <c r="M91" s="11"/>
      <c r="N91" s="11"/>
      <c r="O91" s="11"/>
      <c r="P91" s="11" t="s">
        <v>533</v>
      </c>
      <c r="Q91" s="11" t="s">
        <v>533</v>
      </c>
      <c r="R91" s="11"/>
      <c r="S91" s="11"/>
      <c r="T91" s="11"/>
      <c r="U91" s="11"/>
      <c r="V91" s="11"/>
      <c r="W91" s="11"/>
      <c r="X91" s="11" t="s">
        <v>533</v>
      </c>
      <c r="Y91" s="11"/>
      <c r="Z91" s="11"/>
      <c r="AA91" s="11"/>
      <c r="AB91" s="11"/>
      <c r="AC91" s="11"/>
      <c r="AD91" s="11" t="s">
        <v>533</v>
      </c>
      <c r="AE91" s="11" t="s">
        <v>533</v>
      </c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2"/>
      <c r="AQ91" s="12"/>
      <c r="AR91" s="12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>
        <f t="shared" si="5"/>
        <v>1</v>
      </c>
      <c r="BF91" s="11"/>
    </row>
    <row r="92" spans="1:58" ht="65" thickTop="1" thickBot="1" x14ac:dyDescent="0.45">
      <c r="A92" s="7">
        <f t="shared" si="3"/>
        <v>89</v>
      </c>
      <c r="B92" s="8" t="s">
        <v>479</v>
      </c>
      <c r="C92" s="8" t="s">
        <v>90</v>
      </c>
      <c r="D92" s="16" t="s">
        <v>482</v>
      </c>
      <c r="E92" s="8" t="s">
        <v>481</v>
      </c>
      <c r="F92" s="8" t="s">
        <v>480</v>
      </c>
      <c r="G92" s="10" t="b">
        <v>1</v>
      </c>
      <c r="H92" s="10" t="b">
        <v>1</v>
      </c>
      <c r="I92" s="11" t="s">
        <v>533</v>
      </c>
      <c r="J92" s="11"/>
      <c r="K92" s="11" t="s">
        <v>533</v>
      </c>
      <c r="L92" s="11"/>
      <c r="M92" s="11"/>
      <c r="N92" s="11"/>
      <c r="O92" s="11" t="s">
        <v>533</v>
      </c>
      <c r="P92" s="11"/>
      <c r="Q92" s="11"/>
      <c r="R92" s="11"/>
      <c r="S92" s="11"/>
      <c r="T92" s="11" t="s">
        <v>533</v>
      </c>
      <c r="U92" s="11"/>
      <c r="V92" s="11"/>
      <c r="W92" s="11"/>
      <c r="X92" s="11"/>
      <c r="Y92" s="11" t="s">
        <v>533</v>
      </c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2"/>
      <c r="AQ92" s="12"/>
      <c r="AR92" s="12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>
        <f t="shared" si="5"/>
        <v>1</v>
      </c>
      <c r="BF92" s="11"/>
    </row>
    <row r="93" spans="1:58" ht="65" thickTop="1" thickBot="1" x14ac:dyDescent="0.45">
      <c r="A93" s="7">
        <f t="shared" si="3"/>
        <v>90</v>
      </c>
      <c r="B93" s="8" t="s">
        <v>586</v>
      </c>
      <c r="C93" s="8" t="s">
        <v>185</v>
      </c>
      <c r="D93" s="16" t="s">
        <v>484</v>
      </c>
      <c r="E93" s="8" t="s">
        <v>483</v>
      </c>
      <c r="F93" s="8" t="s">
        <v>485</v>
      </c>
      <c r="G93" s="10" t="b">
        <v>1</v>
      </c>
      <c r="H93" s="10" t="b">
        <v>1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 t="s">
        <v>533</v>
      </c>
      <c r="U93" s="11" t="s">
        <v>533</v>
      </c>
      <c r="V93" s="11"/>
      <c r="W93" s="11"/>
      <c r="X93" s="11" t="s">
        <v>533</v>
      </c>
      <c r="Y93" s="11"/>
      <c r="Z93" s="11" t="s">
        <v>533</v>
      </c>
      <c r="AA93" s="11"/>
      <c r="AB93" s="11"/>
      <c r="AC93" s="11"/>
      <c r="AD93" s="11" t="s">
        <v>533</v>
      </c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2"/>
      <c r="AQ93" s="12"/>
      <c r="AR93" s="12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>
        <f t="shared" si="5"/>
        <v>1</v>
      </c>
      <c r="BF93" s="11"/>
    </row>
    <row r="94" spans="1:58" ht="113" thickTop="1" thickBot="1" x14ac:dyDescent="0.45">
      <c r="A94" s="7">
        <f t="shared" si="3"/>
        <v>91</v>
      </c>
      <c r="B94" s="8" t="s">
        <v>622</v>
      </c>
      <c r="C94" s="8" t="s">
        <v>494</v>
      </c>
      <c r="D94" s="16" t="s">
        <v>493</v>
      </c>
      <c r="E94" s="8" t="s">
        <v>492</v>
      </c>
      <c r="F94" s="8" t="s">
        <v>491</v>
      </c>
      <c r="G94" s="10" t="b">
        <v>1</v>
      </c>
      <c r="H94" s="10" t="b">
        <v>1</v>
      </c>
      <c r="I94" s="11"/>
      <c r="J94" s="11" t="s">
        <v>533</v>
      </c>
      <c r="K94" s="11" t="s">
        <v>533</v>
      </c>
      <c r="L94" s="11" t="s">
        <v>533</v>
      </c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 t="s">
        <v>533</v>
      </c>
      <c r="X94" s="11"/>
      <c r="Y94" s="11"/>
      <c r="Z94" s="11"/>
      <c r="AA94" s="11" t="s">
        <v>533</v>
      </c>
      <c r="AB94" s="11" t="s">
        <v>533</v>
      </c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2"/>
      <c r="AQ94" s="12"/>
      <c r="AR94" s="12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>
        <f t="shared" si="5"/>
        <v>1</v>
      </c>
      <c r="BF94" s="11"/>
    </row>
    <row r="95" spans="1:58" ht="81" thickTop="1" thickBot="1" x14ac:dyDescent="0.45">
      <c r="A95" s="7">
        <f t="shared" si="3"/>
        <v>92</v>
      </c>
      <c r="B95" s="8" t="s">
        <v>495</v>
      </c>
      <c r="C95" s="8" t="s">
        <v>15</v>
      </c>
      <c r="D95" s="16" t="s">
        <v>497</v>
      </c>
      <c r="E95" s="8" t="s">
        <v>496</v>
      </c>
      <c r="F95" s="8" t="s">
        <v>566</v>
      </c>
      <c r="G95" s="10" t="b">
        <v>1</v>
      </c>
      <c r="H95" s="10" t="b">
        <v>1</v>
      </c>
      <c r="I95" s="11"/>
      <c r="J95" s="11"/>
      <c r="K95" s="11" t="s">
        <v>533</v>
      </c>
      <c r="L95" s="11"/>
      <c r="M95" s="11"/>
      <c r="N95" s="11"/>
      <c r="O95" s="11"/>
      <c r="P95" s="11" t="s">
        <v>533</v>
      </c>
      <c r="Q95" s="11"/>
      <c r="R95" s="11"/>
      <c r="S95" s="11"/>
      <c r="T95" s="11"/>
      <c r="U95" s="11"/>
      <c r="V95" s="11"/>
      <c r="W95" s="11" t="s">
        <v>533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 t="s">
        <v>533</v>
      </c>
      <c r="AQ95" s="12"/>
      <c r="AR95" s="12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>
        <f t="shared" si="5"/>
        <v>1</v>
      </c>
      <c r="BF95" s="11"/>
    </row>
    <row r="96" spans="1:58" ht="97" thickTop="1" thickBot="1" x14ac:dyDescent="0.45">
      <c r="A96" s="7">
        <f t="shared" si="3"/>
        <v>93</v>
      </c>
      <c r="B96" s="8" t="s">
        <v>498</v>
      </c>
      <c r="C96" s="8" t="s">
        <v>15</v>
      </c>
      <c r="D96" s="16" t="s">
        <v>500</v>
      </c>
      <c r="E96" s="8" t="s">
        <v>501</v>
      </c>
      <c r="F96" s="8" t="s">
        <v>499</v>
      </c>
      <c r="G96" s="10" t="b">
        <v>1</v>
      </c>
      <c r="H96" s="10" t="b">
        <v>1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 t="s">
        <v>533</v>
      </c>
      <c r="T96" s="11" t="s">
        <v>533</v>
      </c>
      <c r="U96" s="11" t="s">
        <v>533</v>
      </c>
      <c r="V96" s="11" t="s">
        <v>533</v>
      </c>
      <c r="W96" s="11"/>
      <c r="X96" s="11"/>
      <c r="Y96" s="11"/>
      <c r="Z96" s="11" t="s">
        <v>533</v>
      </c>
      <c r="AA96" s="11" t="s">
        <v>533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2"/>
      <c r="AQ96" s="12"/>
      <c r="AR96" s="12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>
        <f t="shared" si="5"/>
        <v>1</v>
      </c>
      <c r="BF96" s="11"/>
    </row>
    <row r="97" spans="1:58" ht="81" thickTop="1" thickBot="1" x14ac:dyDescent="0.45">
      <c r="A97" s="7">
        <f t="shared" si="3"/>
        <v>94</v>
      </c>
      <c r="B97" s="8" t="s">
        <v>502</v>
      </c>
      <c r="C97" s="8" t="s">
        <v>62</v>
      </c>
      <c r="D97" s="16" t="s">
        <v>503</v>
      </c>
      <c r="E97" s="8" t="s">
        <v>504</v>
      </c>
      <c r="F97" s="8" t="s">
        <v>505</v>
      </c>
      <c r="G97" s="10" t="b">
        <v>1</v>
      </c>
      <c r="H97" s="10" t="b">
        <v>1</v>
      </c>
      <c r="I97" s="11"/>
      <c r="J97" s="11"/>
      <c r="K97" s="11"/>
      <c r="L97" s="11"/>
      <c r="M97" s="11"/>
      <c r="N97" s="11"/>
      <c r="O97" s="11"/>
      <c r="P97" s="11"/>
      <c r="Q97" s="11"/>
      <c r="R97" s="11" t="s">
        <v>533</v>
      </c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 t="s">
        <v>533</v>
      </c>
      <c r="AM97" s="11"/>
      <c r="AN97" s="11"/>
      <c r="AO97" s="11"/>
      <c r="AP97" s="12"/>
      <c r="AQ97" s="12"/>
      <c r="AR97" s="12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>
        <f t="shared" si="5"/>
        <v>1</v>
      </c>
      <c r="BF97" s="11"/>
    </row>
    <row r="98" spans="1:58" ht="65" thickTop="1" thickBot="1" x14ac:dyDescent="0.45">
      <c r="A98" s="7">
        <f t="shared" si="3"/>
        <v>95</v>
      </c>
      <c r="B98" s="8" t="s">
        <v>507</v>
      </c>
      <c r="C98" s="8" t="s">
        <v>251</v>
      </c>
      <c r="D98" s="16" t="s">
        <v>508</v>
      </c>
      <c r="E98" s="8" t="s">
        <v>506</v>
      </c>
      <c r="F98" s="8" t="s">
        <v>509</v>
      </c>
      <c r="G98" s="10" t="b">
        <v>1</v>
      </c>
      <c r="H98" s="10" t="b">
        <v>1</v>
      </c>
      <c r="I98" s="11"/>
      <c r="J98" s="11"/>
      <c r="K98" s="11"/>
      <c r="L98" s="11"/>
      <c r="M98" s="11"/>
      <c r="N98" s="11"/>
      <c r="O98" s="11" t="s">
        <v>533</v>
      </c>
      <c r="P98" s="11" t="s">
        <v>533</v>
      </c>
      <c r="Q98" s="11"/>
      <c r="R98" s="11"/>
      <c r="S98" s="11"/>
      <c r="T98" s="11" t="s">
        <v>533</v>
      </c>
      <c r="U98" s="11" t="s">
        <v>533</v>
      </c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2"/>
      <c r="AQ98" s="12"/>
      <c r="AR98" s="12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>
        <f t="shared" si="5"/>
        <v>1</v>
      </c>
      <c r="BF98" s="11"/>
    </row>
    <row r="99" spans="1:58" ht="81" thickTop="1" thickBot="1" x14ac:dyDescent="0.45">
      <c r="A99" s="7">
        <f t="shared" si="3"/>
        <v>96</v>
      </c>
      <c r="B99" s="8" t="s">
        <v>510</v>
      </c>
      <c r="C99" s="8" t="s">
        <v>202</v>
      </c>
      <c r="D99" s="16" t="s">
        <v>513</v>
      </c>
      <c r="E99" s="8" t="s">
        <v>511</v>
      </c>
      <c r="F99" s="8" t="s">
        <v>512</v>
      </c>
      <c r="G99" s="10" t="b">
        <v>1</v>
      </c>
      <c r="H99" s="10" t="b">
        <v>1</v>
      </c>
      <c r="I99" s="11"/>
      <c r="J99" s="11"/>
      <c r="K99" s="11"/>
      <c r="L99" s="11"/>
      <c r="M99" s="11"/>
      <c r="N99" s="11"/>
      <c r="O99" s="11"/>
      <c r="P99" s="11" t="s">
        <v>533</v>
      </c>
      <c r="Q99" s="11"/>
      <c r="R99" s="11"/>
      <c r="S99" s="11"/>
      <c r="T99" s="11"/>
      <c r="U99" s="11" t="s">
        <v>533</v>
      </c>
      <c r="V99" s="11" t="s">
        <v>533</v>
      </c>
      <c r="W99" s="11"/>
      <c r="X99" s="11"/>
      <c r="Y99" s="11"/>
      <c r="Z99" s="11"/>
      <c r="AA99" s="11" t="s">
        <v>533</v>
      </c>
      <c r="AB99" s="11" t="s">
        <v>533</v>
      </c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2"/>
      <c r="AQ99" s="12"/>
      <c r="AR99" s="12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>
        <f t="shared" si="5"/>
        <v>1</v>
      </c>
      <c r="BF99" s="11"/>
    </row>
    <row r="100" spans="1:58" ht="81" thickTop="1" thickBot="1" x14ac:dyDescent="0.45">
      <c r="A100" s="7">
        <f t="shared" si="3"/>
        <v>97</v>
      </c>
      <c r="B100" s="8" t="s">
        <v>518</v>
      </c>
      <c r="C100" s="8" t="s">
        <v>251</v>
      </c>
      <c r="D100" s="16" t="s">
        <v>520</v>
      </c>
      <c r="E100" s="8" t="s">
        <v>521</v>
      </c>
      <c r="F100" s="8" t="s">
        <v>519</v>
      </c>
      <c r="G100" s="10" t="b">
        <v>1</v>
      </c>
      <c r="H100" s="10" t="b">
        <v>1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 t="s">
        <v>533</v>
      </c>
      <c r="T100" s="11" t="s">
        <v>533</v>
      </c>
      <c r="U100" s="11"/>
      <c r="V100" s="11"/>
      <c r="W100" s="11"/>
      <c r="X100" s="11" t="s">
        <v>533</v>
      </c>
      <c r="Y100" s="11"/>
      <c r="Z100" s="11" t="s">
        <v>533</v>
      </c>
      <c r="AA100" s="11"/>
      <c r="AB100" s="11"/>
      <c r="AC100" s="11"/>
      <c r="AD100" s="11" t="s">
        <v>533</v>
      </c>
      <c r="AE100" s="11" t="s">
        <v>533</v>
      </c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2"/>
      <c r="AQ100" s="12"/>
      <c r="AR100" s="12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>
        <f t="shared" si="5"/>
        <v>1</v>
      </c>
      <c r="BF100" s="11"/>
    </row>
    <row r="101" spans="1:58" ht="97" thickTop="1" thickBot="1" x14ac:dyDescent="0.45">
      <c r="A101" s="7">
        <f t="shared" si="3"/>
        <v>98</v>
      </c>
      <c r="B101" s="8" t="s">
        <v>623</v>
      </c>
      <c r="C101" s="8" t="s">
        <v>15</v>
      </c>
      <c r="D101" s="16" t="s">
        <v>523</v>
      </c>
      <c r="E101" s="8" t="s">
        <v>522</v>
      </c>
      <c r="F101" s="8" t="s">
        <v>524</v>
      </c>
      <c r="G101" s="10" t="b">
        <v>1</v>
      </c>
      <c r="H101" s="10" t="b">
        <v>1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533</v>
      </c>
      <c r="V101" s="11" t="s">
        <v>533</v>
      </c>
      <c r="W101" s="11"/>
      <c r="X101" s="11" t="s">
        <v>533</v>
      </c>
      <c r="Y101" s="11" t="s">
        <v>533</v>
      </c>
      <c r="Z101" s="11"/>
      <c r="AA101" s="11"/>
      <c r="AB101" s="11"/>
      <c r="AC101" s="11"/>
      <c r="AD101" s="11" t="s">
        <v>533</v>
      </c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2"/>
      <c r="AQ101" s="12"/>
      <c r="AR101" s="12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>
        <f t="shared" si="5"/>
        <v>1</v>
      </c>
      <c r="BF101" s="11"/>
    </row>
    <row r="102" spans="1:58" ht="33" thickTop="1" thickBot="1" x14ac:dyDescent="0.45">
      <c r="A102" s="7">
        <f t="shared" si="3"/>
        <v>99</v>
      </c>
      <c r="B102" s="7" t="s">
        <v>18</v>
      </c>
      <c r="C102" s="7" t="s">
        <v>21</v>
      </c>
      <c r="D102" s="7" t="s">
        <v>20</v>
      </c>
      <c r="E102" s="7" t="s">
        <v>19</v>
      </c>
      <c r="F102" s="8" t="s">
        <v>26</v>
      </c>
      <c r="G102" s="10" t="b">
        <v>0</v>
      </c>
      <c r="H102" s="10" t="b">
        <v>1</v>
      </c>
      <c r="I102" s="11"/>
      <c r="J102" s="11"/>
      <c r="K102" s="11"/>
      <c r="L102" s="11"/>
      <c r="M102" s="11" t="s">
        <v>533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 t="s">
        <v>533</v>
      </c>
      <c r="AG102" s="11"/>
      <c r="AH102" s="11"/>
      <c r="AI102" s="12"/>
      <c r="AJ102" s="13"/>
      <c r="AK102" s="13"/>
      <c r="AL102" s="11"/>
      <c r="AM102" s="11"/>
      <c r="AN102" s="11"/>
      <c r="AO102" s="11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1"/>
      <c r="BA102" s="11"/>
      <c r="BB102" s="11"/>
      <c r="BC102" s="11"/>
      <c r="BD102" s="11"/>
      <c r="BE102" s="11">
        <f t="shared" si="5"/>
        <v>0.5</v>
      </c>
      <c r="BF102" s="11"/>
    </row>
    <row r="103" spans="1:58" ht="161" thickTop="1" thickBot="1" x14ac:dyDescent="0.45">
      <c r="A103" s="7">
        <f t="shared" si="3"/>
        <v>100</v>
      </c>
      <c r="B103" s="7" t="s">
        <v>624</v>
      </c>
      <c r="C103" s="7" t="s">
        <v>42</v>
      </c>
      <c r="D103" s="7" t="s">
        <v>41</v>
      </c>
      <c r="E103" s="7"/>
      <c r="F103" s="8" t="s">
        <v>40</v>
      </c>
      <c r="G103" s="10" t="b">
        <v>0</v>
      </c>
      <c r="H103" s="10" t="b">
        <v>1</v>
      </c>
      <c r="I103" s="11" t="s">
        <v>533</v>
      </c>
      <c r="J103" s="11"/>
      <c r="K103" s="11"/>
      <c r="L103" s="11" t="s">
        <v>533</v>
      </c>
      <c r="M103" s="11" t="s">
        <v>533</v>
      </c>
      <c r="N103" s="11" t="s">
        <v>533</v>
      </c>
      <c r="O103" s="11"/>
      <c r="P103" s="11"/>
      <c r="Q103" s="11"/>
      <c r="R103" s="11"/>
      <c r="S103" s="11"/>
      <c r="T103" s="11"/>
      <c r="U103" s="11" t="s">
        <v>533</v>
      </c>
      <c r="V103" s="11" t="s">
        <v>533</v>
      </c>
      <c r="W103" s="11"/>
      <c r="X103" s="11" t="s">
        <v>533</v>
      </c>
      <c r="Y103" s="11" t="s">
        <v>533</v>
      </c>
      <c r="Z103" s="11" t="s">
        <v>533</v>
      </c>
      <c r="AA103" s="11"/>
      <c r="AB103" s="11"/>
      <c r="AC103" s="11"/>
      <c r="AD103" s="11" t="s">
        <v>533</v>
      </c>
      <c r="AE103" s="11" t="s">
        <v>533</v>
      </c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1"/>
      <c r="BA103" s="11"/>
      <c r="BB103" s="11"/>
      <c r="BC103" s="11"/>
      <c r="BD103" s="11"/>
      <c r="BE103" s="11">
        <f t="shared" si="5"/>
        <v>0.5</v>
      </c>
      <c r="BF103" s="11"/>
    </row>
    <row r="104" spans="1:58" ht="113" thickTop="1" thickBot="1" x14ac:dyDescent="0.45">
      <c r="A104" s="7">
        <f t="shared" si="3"/>
        <v>101</v>
      </c>
      <c r="B104" s="42" t="s">
        <v>625</v>
      </c>
      <c r="C104" s="40" t="s">
        <v>45</v>
      </c>
      <c r="D104" s="40" t="s">
        <v>44</v>
      </c>
      <c r="E104" s="43" t="s">
        <v>43</v>
      </c>
      <c r="F104" s="40" t="s">
        <v>46</v>
      </c>
      <c r="G104" s="10" t="b">
        <v>0</v>
      </c>
      <c r="H104" s="10" t="b">
        <v>1</v>
      </c>
      <c r="I104" s="11" t="s">
        <v>533</v>
      </c>
      <c r="J104" s="11"/>
      <c r="K104" s="11"/>
      <c r="L104" s="11"/>
      <c r="M104" s="11" t="s">
        <v>533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45" t="s">
        <v>533</v>
      </c>
      <c r="AH104" s="11"/>
      <c r="AI104" s="11" t="s">
        <v>533</v>
      </c>
      <c r="AJ104" s="11"/>
      <c r="AK104" s="11"/>
      <c r="AL104" s="11"/>
      <c r="AM104" s="11"/>
      <c r="AN104" s="11"/>
      <c r="AO104" s="11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1"/>
      <c r="BA104" s="11"/>
      <c r="BB104" s="11"/>
      <c r="BC104" s="11"/>
      <c r="BD104" s="11"/>
      <c r="BE104" s="11">
        <f t="shared" si="5"/>
        <v>0.5</v>
      </c>
      <c r="BF104" s="11"/>
    </row>
    <row r="105" spans="1:58" ht="81" thickTop="1" thickBot="1" x14ac:dyDescent="0.45">
      <c r="A105" s="7">
        <f t="shared" si="3"/>
        <v>102</v>
      </c>
      <c r="B105" s="7" t="s">
        <v>66</v>
      </c>
      <c r="C105" s="7"/>
      <c r="D105" s="14" t="s">
        <v>68</v>
      </c>
      <c r="E105" s="7" t="s">
        <v>69</v>
      </c>
      <c r="F105" s="20" t="s">
        <v>67</v>
      </c>
      <c r="G105" s="10" t="b">
        <v>0</v>
      </c>
      <c r="H105" s="10" t="b">
        <v>1</v>
      </c>
      <c r="I105" s="11"/>
      <c r="J105" s="11"/>
      <c r="K105" s="11"/>
      <c r="L105" s="11" t="s">
        <v>533</v>
      </c>
      <c r="M105" s="11"/>
      <c r="N105" s="11"/>
      <c r="O105" s="11"/>
      <c r="P105" s="11"/>
      <c r="Q105" s="11"/>
      <c r="R105" s="11" t="s">
        <v>533</v>
      </c>
      <c r="S105" s="11" t="s">
        <v>533</v>
      </c>
      <c r="T105" s="11"/>
      <c r="U105" s="11"/>
      <c r="V105" s="11" t="s">
        <v>533</v>
      </c>
      <c r="W105" s="11"/>
      <c r="X105" s="11"/>
      <c r="Y105" s="11"/>
      <c r="Z105" s="11" t="s">
        <v>533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1"/>
      <c r="BA105" s="11"/>
      <c r="BB105" s="11"/>
      <c r="BC105" s="11"/>
      <c r="BD105" s="11"/>
      <c r="BE105" s="11">
        <f t="shared" si="5"/>
        <v>0.5</v>
      </c>
      <c r="BF105" s="11"/>
    </row>
    <row r="106" spans="1:58" ht="81" thickTop="1" thickBot="1" x14ac:dyDescent="0.45">
      <c r="A106" s="7">
        <f t="shared" si="3"/>
        <v>103</v>
      </c>
      <c r="B106" s="7" t="s">
        <v>138</v>
      </c>
      <c r="C106" s="8" t="s">
        <v>142</v>
      </c>
      <c r="D106" s="8" t="s">
        <v>141</v>
      </c>
      <c r="E106" s="8" t="s">
        <v>139</v>
      </c>
      <c r="F106" s="8" t="s">
        <v>143</v>
      </c>
      <c r="G106" s="10" t="b">
        <v>0</v>
      </c>
      <c r="H106" s="10" t="b">
        <v>1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 t="s">
        <v>533</v>
      </c>
      <c r="S106" s="11"/>
      <c r="T106" s="11"/>
      <c r="U106" s="11" t="s">
        <v>533</v>
      </c>
      <c r="V106" s="11" t="s">
        <v>533</v>
      </c>
      <c r="W106" s="11"/>
      <c r="X106" s="11" t="s">
        <v>533</v>
      </c>
      <c r="Y106" s="11"/>
      <c r="Z106" s="11" t="s">
        <v>533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1"/>
      <c r="BA106" s="11"/>
      <c r="BB106" s="11"/>
      <c r="BC106" s="11"/>
      <c r="BD106" s="11"/>
      <c r="BE106" s="11">
        <f t="shared" si="5"/>
        <v>0.5</v>
      </c>
      <c r="BF106" s="11"/>
    </row>
    <row r="107" spans="1:58" ht="49" thickTop="1" thickBot="1" x14ac:dyDescent="0.45">
      <c r="A107" s="7">
        <f t="shared" si="3"/>
        <v>104</v>
      </c>
      <c r="B107" s="7" t="s">
        <v>154</v>
      </c>
      <c r="C107" s="8" t="s">
        <v>50</v>
      </c>
      <c r="D107" s="7" t="s">
        <v>156</v>
      </c>
      <c r="E107" s="8" t="s">
        <v>155</v>
      </c>
      <c r="F107" s="8" t="s">
        <v>582</v>
      </c>
      <c r="G107" s="10" t="b">
        <v>0</v>
      </c>
      <c r="H107" s="10" t="b">
        <v>1</v>
      </c>
      <c r="I107" s="11"/>
      <c r="J107" s="11"/>
      <c r="K107" s="11"/>
      <c r="L107" s="11"/>
      <c r="M107" s="11" t="s">
        <v>533</v>
      </c>
      <c r="N107" s="11" t="s">
        <v>533</v>
      </c>
      <c r="O107" s="11"/>
      <c r="P107" s="11"/>
      <c r="Q107" s="11"/>
      <c r="R107" s="11"/>
      <c r="S107" s="11"/>
      <c r="T107" s="11" t="s">
        <v>533</v>
      </c>
      <c r="U107" s="11"/>
      <c r="V107" s="11"/>
      <c r="W107" s="11" t="s">
        <v>533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1"/>
      <c r="BA107" s="11"/>
      <c r="BB107" s="11"/>
      <c r="BC107" s="11"/>
      <c r="BD107" s="11"/>
      <c r="BE107" s="11">
        <f t="shared" si="5"/>
        <v>0.5</v>
      </c>
      <c r="BF107" s="11"/>
    </row>
    <row r="108" spans="1:58" ht="81" thickTop="1" thickBot="1" x14ac:dyDescent="0.45">
      <c r="A108" s="7">
        <f t="shared" si="3"/>
        <v>105</v>
      </c>
      <c r="B108" s="8" t="s">
        <v>228</v>
      </c>
      <c r="C108" s="8" t="s">
        <v>231</v>
      </c>
      <c r="D108" s="8" t="s">
        <v>230</v>
      </c>
      <c r="E108" s="8" t="s">
        <v>229</v>
      </c>
      <c r="F108" s="8" t="s">
        <v>232</v>
      </c>
      <c r="G108" s="10" t="b">
        <v>0</v>
      </c>
      <c r="H108" s="10" t="b">
        <v>1</v>
      </c>
      <c r="I108" s="11" t="s">
        <v>533</v>
      </c>
      <c r="J108" s="11"/>
      <c r="K108" s="11" t="s">
        <v>533</v>
      </c>
      <c r="L108" s="11"/>
      <c r="M108" s="11"/>
      <c r="N108" s="11" t="s">
        <v>533</v>
      </c>
      <c r="O108" s="11"/>
      <c r="P108" s="11"/>
      <c r="Q108" s="11"/>
      <c r="R108" s="11" t="s">
        <v>533</v>
      </c>
      <c r="S108" s="11"/>
      <c r="T108" s="11"/>
      <c r="U108" s="11"/>
      <c r="V108" s="11"/>
      <c r="W108" s="11"/>
      <c r="X108" s="11"/>
      <c r="Y108" s="11"/>
      <c r="Z108" s="11" t="s">
        <v>533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2"/>
      <c r="AQ108" s="12"/>
      <c r="AR108" s="12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>
        <f t="shared" si="5"/>
        <v>0.5</v>
      </c>
      <c r="BF108" s="11"/>
    </row>
    <row r="109" spans="1:58" ht="49" thickTop="1" thickBot="1" x14ac:dyDescent="0.45">
      <c r="A109" s="7">
        <f t="shared" si="3"/>
        <v>106</v>
      </c>
      <c r="B109" s="8" t="s">
        <v>246</v>
      </c>
      <c r="C109" s="8" t="s">
        <v>202</v>
      </c>
      <c r="D109" s="7" t="s">
        <v>248</v>
      </c>
      <c r="E109" s="8" t="s">
        <v>247</v>
      </c>
      <c r="F109" s="8" t="s">
        <v>249</v>
      </c>
      <c r="G109" s="10" t="b">
        <v>0</v>
      </c>
      <c r="H109" s="10" t="b">
        <v>1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 t="s">
        <v>533</v>
      </c>
      <c r="S109" s="11" t="s">
        <v>533</v>
      </c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2"/>
      <c r="AQ109" s="12"/>
      <c r="AR109" s="12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>
        <f t="shared" si="5"/>
        <v>0.5</v>
      </c>
      <c r="BF109" s="11"/>
    </row>
    <row r="110" spans="1:58" ht="65" thickTop="1" thickBot="1" x14ac:dyDescent="0.45">
      <c r="A110" s="7">
        <f t="shared" si="3"/>
        <v>107</v>
      </c>
      <c r="B110" s="8" t="s">
        <v>630</v>
      </c>
      <c r="C110" s="8" t="s">
        <v>62</v>
      </c>
      <c r="D110" s="8" t="s">
        <v>278</v>
      </c>
      <c r="E110" s="8" t="s">
        <v>279</v>
      </c>
      <c r="F110" s="8" t="s">
        <v>280</v>
      </c>
      <c r="G110" s="10" t="b">
        <v>0</v>
      </c>
      <c r="H110" s="10" t="b">
        <v>1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 t="s">
        <v>533</v>
      </c>
      <c r="U110" s="11" t="s">
        <v>533</v>
      </c>
      <c r="V110" s="11"/>
      <c r="W110" s="11"/>
      <c r="X110" s="11"/>
      <c r="Y110" s="11" t="s">
        <v>533</v>
      </c>
      <c r="Z110" s="11"/>
      <c r="AA110" s="11"/>
      <c r="AB110" s="11"/>
      <c r="AC110" s="11" t="s">
        <v>533</v>
      </c>
      <c r="AD110" s="11" t="s">
        <v>533</v>
      </c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2"/>
      <c r="AQ110" s="12"/>
      <c r="AR110" s="12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>
        <f t="shared" si="5"/>
        <v>0.5</v>
      </c>
      <c r="BF110" s="11"/>
    </row>
    <row r="111" spans="1:58" ht="81" thickTop="1" thickBot="1" x14ac:dyDescent="0.45">
      <c r="A111" s="7">
        <f t="shared" si="3"/>
        <v>108</v>
      </c>
      <c r="B111" s="8" t="s">
        <v>281</v>
      </c>
      <c r="C111" s="8" t="s">
        <v>284</v>
      </c>
      <c r="D111" s="8" t="s">
        <v>282</v>
      </c>
      <c r="E111" s="8" t="s">
        <v>283</v>
      </c>
      <c r="F111" s="8" t="s">
        <v>285</v>
      </c>
      <c r="G111" s="10" t="b">
        <v>0</v>
      </c>
      <c r="H111" s="10" t="b">
        <v>1</v>
      </c>
      <c r="I111" s="11"/>
      <c r="J111" s="11"/>
      <c r="K111" s="11"/>
      <c r="L111" s="11"/>
      <c r="M111" s="11"/>
      <c r="N111" s="11"/>
      <c r="O111" s="11"/>
      <c r="P111" s="11" t="s">
        <v>533</v>
      </c>
      <c r="Q111" s="11"/>
      <c r="R111" s="11"/>
      <c r="S111" s="11"/>
      <c r="T111" s="11"/>
      <c r="U111" s="11" t="s">
        <v>533</v>
      </c>
      <c r="V111" s="11" t="s">
        <v>533</v>
      </c>
      <c r="W111" s="11"/>
      <c r="X111" s="11" t="s">
        <v>533</v>
      </c>
      <c r="Y111" s="11"/>
      <c r="Z111" s="11" t="s">
        <v>533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2"/>
      <c r="AQ111" s="12"/>
      <c r="AR111" s="12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>
        <f t="shared" ref="BE111:BE133" si="6">COUNTIF(G111:H111,TRUE)/COUNTA(G111:H111)</f>
        <v>0.5</v>
      </c>
      <c r="BF111" s="11"/>
    </row>
    <row r="112" spans="1:58" ht="65" thickTop="1" thickBot="1" x14ac:dyDescent="0.45">
      <c r="A112" s="7">
        <f t="shared" ref="A112:A133" si="7">ROW()-3</f>
        <v>109</v>
      </c>
      <c r="B112" s="8" t="s">
        <v>311</v>
      </c>
      <c r="C112" s="8" t="s">
        <v>202</v>
      </c>
      <c r="D112" s="8" t="s">
        <v>313</v>
      </c>
      <c r="E112" s="8"/>
      <c r="F112" s="8" t="s">
        <v>312</v>
      </c>
      <c r="G112" s="10" t="b">
        <v>0</v>
      </c>
      <c r="H112" s="10" t="b">
        <v>1</v>
      </c>
      <c r="I112" s="11"/>
      <c r="J112" s="11"/>
      <c r="K112" s="11"/>
      <c r="L112" s="11"/>
      <c r="M112" s="11"/>
      <c r="N112" s="11"/>
      <c r="O112" s="11" t="s">
        <v>533</v>
      </c>
      <c r="P112" s="11"/>
      <c r="Q112" s="11"/>
      <c r="R112" s="11"/>
      <c r="S112" s="11"/>
      <c r="T112" s="11" t="s">
        <v>533</v>
      </c>
      <c r="U112" s="11"/>
      <c r="V112" s="11"/>
      <c r="W112" s="11"/>
      <c r="X112" s="11" t="s">
        <v>533</v>
      </c>
      <c r="Y112" s="11"/>
      <c r="Z112" s="11"/>
      <c r="AA112" s="11"/>
      <c r="AB112" s="11"/>
      <c r="AC112" s="11"/>
      <c r="AD112" s="11"/>
      <c r="AE112" s="11" t="s">
        <v>533</v>
      </c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2"/>
      <c r="AQ112" s="12"/>
      <c r="AR112" s="12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>
        <f t="shared" si="6"/>
        <v>0.5</v>
      </c>
      <c r="BF112" s="11"/>
    </row>
    <row r="113" spans="1:58" ht="113" thickTop="1" thickBot="1" x14ac:dyDescent="0.45">
      <c r="A113" s="7">
        <f t="shared" si="7"/>
        <v>110</v>
      </c>
      <c r="B113" s="8" t="s">
        <v>325</v>
      </c>
      <c r="C113" s="8"/>
      <c r="D113" s="8" t="s">
        <v>327</v>
      </c>
      <c r="E113" s="8" t="s">
        <v>326</v>
      </c>
      <c r="F113" s="8" t="s">
        <v>328</v>
      </c>
      <c r="G113" s="10" t="b">
        <v>0</v>
      </c>
      <c r="H113" s="10" t="b">
        <v>1</v>
      </c>
      <c r="I113" s="11"/>
      <c r="J113" s="11"/>
      <c r="K113" s="11"/>
      <c r="L113" s="11"/>
      <c r="M113" s="11"/>
      <c r="N113" s="11"/>
      <c r="O113" s="11" t="s">
        <v>533</v>
      </c>
      <c r="P113" s="11" t="s">
        <v>533</v>
      </c>
      <c r="Q113" s="11"/>
      <c r="R113" s="11"/>
      <c r="S113" s="11" t="s">
        <v>533</v>
      </c>
      <c r="T113" s="11" t="s">
        <v>533</v>
      </c>
      <c r="U113" s="11" t="s">
        <v>533</v>
      </c>
      <c r="V113" s="11"/>
      <c r="W113" s="11"/>
      <c r="X113" s="11" t="s">
        <v>533</v>
      </c>
      <c r="Y113" s="11"/>
      <c r="Z113" s="11"/>
      <c r="AA113" s="11"/>
      <c r="AB113" s="11"/>
      <c r="AC113" s="11"/>
      <c r="AD113" s="11" t="s">
        <v>533</v>
      </c>
      <c r="AE113" s="11" t="s">
        <v>533</v>
      </c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2"/>
      <c r="AQ113" s="12"/>
      <c r="AR113" s="12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>
        <f t="shared" si="6"/>
        <v>0.5</v>
      </c>
      <c r="BF113" s="11"/>
    </row>
    <row r="114" spans="1:58" ht="97" thickTop="1" thickBot="1" x14ac:dyDescent="0.45">
      <c r="A114" s="7">
        <f t="shared" si="7"/>
        <v>111</v>
      </c>
      <c r="B114" s="8" t="s">
        <v>335</v>
      </c>
      <c r="C114" s="8" t="s">
        <v>339</v>
      </c>
      <c r="D114" s="8" t="s">
        <v>337</v>
      </c>
      <c r="E114" s="8" t="s">
        <v>338</v>
      </c>
      <c r="F114" s="8" t="s">
        <v>336</v>
      </c>
      <c r="G114" s="10" t="b">
        <v>0</v>
      </c>
      <c r="H114" s="10" t="b">
        <v>1</v>
      </c>
      <c r="I114" s="11"/>
      <c r="J114" s="11"/>
      <c r="K114" s="11"/>
      <c r="L114" s="11"/>
      <c r="M114" s="11"/>
      <c r="N114" s="11"/>
      <c r="O114" s="11" t="s">
        <v>533</v>
      </c>
      <c r="P114" s="11" t="s">
        <v>533</v>
      </c>
      <c r="Q114" s="11" t="s">
        <v>533</v>
      </c>
      <c r="R114" s="11"/>
      <c r="S114" s="11"/>
      <c r="T114" s="11" t="s">
        <v>533</v>
      </c>
      <c r="U114" s="11" t="s">
        <v>533</v>
      </c>
      <c r="V114" s="11"/>
      <c r="W114" s="11"/>
      <c r="X114" s="11"/>
      <c r="Y114" s="11" t="s">
        <v>533</v>
      </c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2"/>
      <c r="AQ114" s="12"/>
      <c r="AR114" s="12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>
        <f t="shared" si="6"/>
        <v>0.5</v>
      </c>
      <c r="BF114" s="11"/>
    </row>
    <row r="115" spans="1:58" ht="81" thickTop="1" thickBot="1" x14ac:dyDescent="0.45">
      <c r="A115" s="7">
        <f t="shared" si="7"/>
        <v>112</v>
      </c>
      <c r="B115" s="8" t="s">
        <v>353</v>
      </c>
      <c r="C115" s="8" t="s">
        <v>251</v>
      </c>
      <c r="D115" s="8" t="s">
        <v>354</v>
      </c>
      <c r="E115" s="8"/>
      <c r="F115" s="8" t="s">
        <v>355</v>
      </c>
      <c r="G115" s="10" t="b">
        <v>0</v>
      </c>
      <c r="H115" s="10" t="b">
        <v>1</v>
      </c>
      <c r="I115" s="11" t="s">
        <v>533</v>
      </c>
      <c r="J115" s="11" t="s">
        <v>533</v>
      </c>
      <c r="K115" s="11"/>
      <c r="L115" s="11"/>
      <c r="M115" s="11"/>
      <c r="N115" s="11" t="s">
        <v>533</v>
      </c>
      <c r="O115" s="11"/>
      <c r="P115" s="11"/>
      <c r="Q115" s="11"/>
      <c r="R115" s="11" t="s">
        <v>533</v>
      </c>
      <c r="S115" s="11"/>
      <c r="T115" s="11"/>
      <c r="U115" s="11"/>
      <c r="V115" s="11"/>
      <c r="W115" s="11"/>
      <c r="X115" s="11"/>
      <c r="Y115" s="11"/>
      <c r="Z115" s="11"/>
      <c r="AA115" s="11"/>
      <c r="AB115" s="11" t="s">
        <v>533</v>
      </c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2"/>
      <c r="AQ115" s="12"/>
      <c r="AR115" s="12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>
        <f t="shared" si="6"/>
        <v>0.5</v>
      </c>
      <c r="BF115" s="11"/>
    </row>
    <row r="116" spans="1:58" ht="81" thickTop="1" thickBot="1" x14ac:dyDescent="0.45">
      <c r="A116" s="7">
        <f t="shared" si="7"/>
        <v>113</v>
      </c>
      <c r="B116" s="8" t="s">
        <v>393</v>
      </c>
      <c r="C116" s="8" t="s">
        <v>15</v>
      </c>
      <c r="D116" s="8" t="s">
        <v>395</v>
      </c>
      <c r="E116" s="8" t="s">
        <v>394</v>
      </c>
      <c r="F116" s="8" t="s">
        <v>396</v>
      </c>
      <c r="G116" s="10" t="b">
        <v>0</v>
      </c>
      <c r="H116" s="10" t="b">
        <v>1</v>
      </c>
      <c r="I116" s="11" t="s">
        <v>533</v>
      </c>
      <c r="J116" s="11" t="s">
        <v>533</v>
      </c>
      <c r="K116" s="11"/>
      <c r="L116" s="11"/>
      <c r="M116" s="11" t="s">
        <v>533</v>
      </c>
      <c r="N116" s="11" t="s">
        <v>533</v>
      </c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 t="s">
        <v>533</v>
      </c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2"/>
      <c r="AQ116" s="12"/>
      <c r="AR116" s="12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>
        <f t="shared" si="6"/>
        <v>0.5</v>
      </c>
      <c r="BF116" s="11"/>
    </row>
    <row r="117" spans="1:58" ht="65" thickTop="1" thickBot="1" x14ac:dyDescent="0.45">
      <c r="A117" s="7">
        <f t="shared" si="7"/>
        <v>114</v>
      </c>
      <c r="B117" s="8" t="s">
        <v>401</v>
      </c>
      <c r="C117" s="8" t="s">
        <v>405</v>
      </c>
      <c r="D117" s="16" t="s">
        <v>402</v>
      </c>
      <c r="E117" s="8" t="s">
        <v>403</v>
      </c>
      <c r="F117" s="8" t="s">
        <v>404</v>
      </c>
      <c r="G117" s="10" t="b">
        <v>0</v>
      </c>
      <c r="H117" s="10" t="b">
        <v>1</v>
      </c>
      <c r="I117" s="11"/>
      <c r="J117" s="11"/>
      <c r="K117" s="11"/>
      <c r="L117" s="11" t="s">
        <v>533</v>
      </c>
      <c r="M117" s="11"/>
      <c r="N117" s="11"/>
      <c r="O117" s="11"/>
      <c r="P117" s="11"/>
      <c r="Q117" s="11"/>
      <c r="R117" s="11"/>
      <c r="S117" s="11"/>
      <c r="T117" s="11"/>
      <c r="U117" s="11" t="s">
        <v>533</v>
      </c>
      <c r="V117" s="11" t="s">
        <v>533</v>
      </c>
      <c r="W117" s="11"/>
      <c r="X117" s="11"/>
      <c r="Y117" s="11" t="s">
        <v>533</v>
      </c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2"/>
      <c r="AQ117" s="12"/>
      <c r="AR117" s="12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>
        <f t="shared" si="6"/>
        <v>0.5</v>
      </c>
      <c r="BF117" s="11"/>
    </row>
    <row r="118" spans="1:58" ht="81" thickTop="1" thickBot="1" x14ac:dyDescent="0.45">
      <c r="A118" s="7">
        <f t="shared" si="7"/>
        <v>115</v>
      </c>
      <c r="B118" s="8" t="s">
        <v>626</v>
      </c>
      <c r="C118" s="8" t="s">
        <v>15</v>
      </c>
      <c r="D118" s="16" t="s">
        <v>452</v>
      </c>
      <c r="E118" s="8" t="s">
        <v>454</v>
      </c>
      <c r="F118" s="8" t="s">
        <v>453</v>
      </c>
      <c r="G118" s="10" t="b">
        <v>0</v>
      </c>
      <c r="H118" s="10" t="b">
        <v>1</v>
      </c>
      <c r="I118" s="11"/>
      <c r="J118" s="11"/>
      <c r="K118" s="11" t="s">
        <v>533</v>
      </c>
      <c r="L118" s="11"/>
      <c r="M118" s="11"/>
      <c r="N118" s="11"/>
      <c r="O118" s="11"/>
      <c r="P118" s="11"/>
      <c r="Q118" s="11"/>
      <c r="R118" s="11"/>
      <c r="S118" s="11" t="s">
        <v>533</v>
      </c>
      <c r="T118" s="11" t="s">
        <v>533</v>
      </c>
      <c r="U118" s="11"/>
      <c r="V118" s="11"/>
      <c r="W118" s="11"/>
      <c r="X118" s="11" t="s">
        <v>533</v>
      </c>
      <c r="Y118" s="11"/>
      <c r="Z118" s="11" t="s">
        <v>533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2"/>
      <c r="AQ118" s="12"/>
      <c r="AR118" s="12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>
        <f t="shared" si="6"/>
        <v>0.5</v>
      </c>
      <c r="BF118" s="11"/>
    </row>
    <row r="119" spans="1:58" ht="81" thickTop="1" thickBot="1" x14ac:dyDescent="0.45">
      <c r="A119" s="7">
        <f t="shared" si="7"/>
        <v>116</v>
      </c>
      <c r="B119" s="8" t="s">
        <v>486</v>
      </c>
      <c r="C119" s="8" t="s">
        <v>488</v>
      </c>
      <c r="D119" s="16" t="s">
        <v>489</v>
      </c>
      <c r="E119" s="8" t="s">
        <v>490</v>
      </c>
      <c r="F119" s="8" t="s">
        <v>487</v>
      </c>
      <c r="G119" s="10" t="b">
        <v>0</v>
      </c>
      <c r="H119" s="10" t="b">
        <v>1</v>
      </c>
      <c r="I119" s="11"/>
      <c r="J119" s="11"/>
      <c r="K119" s="11" t="s">
        <v>533</v>
      </c>
      <c r="L119" s="11"/>
      <c r="M119" s="11" t="s">
        <v>533</v>
      </c>
      <c r="N119" s="11"/>
      <c r="O119" s="11"/>
      <c r="P119" s="11"/>
      <c r="Q119" s="11"/>
      <c r="R119" s="11"/>
      <c r="S119" s="11" t="s">
        <v>533</v>
      </c>
      <c r="T119" s="11"/>
      <c r="U119" s="11"/>
      <c r="V119" s="11"/>
      <c r="W119" s="11"/>
      <c r="X119" s="11"/>
      <c r="Y119" s="11"/>
      <c r="Z119" s="11" t="s">
        <v>533</v>
      </c>
      <c r="AA119" s="11"/>
      <c r="AB119" s="11"/>
      <c r="AC119" s="11"/>
      <c r="AD119" s="11" t="s">
        <v>533</v>
      </c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2"/>
      <c r="AQ119" s="12"/>
      <c r="AR119" s="12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>
        <f t="shared" si="6"/>
        <v>0.5</v>
      </c>
      <c r="BF119" s="11"/>
    </row>
    <row r="120" spans="1:58" ht="81" thickTop="1" thickBot="1" x14ac:dyDescent="0.45">
      <c r="A120" s="7">
        <f t="shared" si="7"/>
        <v>117</v>
      </c>
      <c r="B120" s="8" t="s">
        <v>514</v>
      </c>
      <c r="C120" s="8" t="s">
        <v>15</v>
      </c>
      <c r="D120" s="16" t="s">
        <v>515</v>
      </c>
      <c r="E120" s="8" t="s">
        <v>517</v>
      </c>
      <c r="F120" s="8" t="s">
        <v>516</v>
      </c>
      <c r="G120" s="10" t="b">
        <v>0</v>
      </c>
      <c r="H120" s="10" t="b">
        <v>1</v>
      </c>
      <c r="I120" s="11" t="s">
        <v>533</v>
      </c>
      <c r="J120" s="11"/>
      <c r="K120" s="11"/>
      <c r="L120" s="11" t="s">
        <v>533</v>
      </c>
      <c r="M120" s="11" t="s">
        <v>533</v>
      </c>
      <c r="N120" s="11"/>
      <c r="O120" s="11"/>
      <c r="P120" s="11"/>
      <c r="Q120" s="11"/>
      <c r="R120" s="11"/>
      <c r="S120" s="11"/>
      <c r="T120" s="11"/>
      <c r="U120" s="11" t="s">
        <v>533</v>
      </c>
      <c r="V120" s="11" t="s">
        <v>533</v>
      </c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2"/>
      <c r="AQ120" s="12"/>
      <c r="AR120" s="12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>
        <f t="shared" si="6"/>
        <v>0.5</v>
      </c>
      <c r="BF120" s="11"/>
    </row>
    <row r="121" spans="1:58" ht="113" thickTop="1" thickBot="1" x14ac:dyDescent="0.45">
      <c r="A121" s="7">
        <f t="shared" si="7"/>
        <v>118</v>
      </c>
      <c r="B121" s="8" t="s">
        <v>525</v>
      </c>
      <c r="C121" s="8" t="s">
        <v>529</v>
      </c>
      <c r="D121" s="16" t="s">
        <v>527</v>
      </c>
      <c r="E121" s="8" t="s">
        <v>526</v>
      </c>
      <c r="F121" s="8" t="s">
        <v>528</v>
      </c>
      <c r="G121" s="10" t="b">
        <v>0</v>
      </c>
      <c r="H121" s="10" t="b">
        <v>1</v>
      </c>
      <c r="I121" s="11"/>
      <c r="J121" s="11" t="s">
        <v>533</v>
      </c>
      <c r="K121" s="11" t="s">
        <v>533</v>
      </c>
      <c r="L121" s="11"/>
      <c r="M121" s="11" t="s">
        <v>533</v>
      </c>
      <c r="N121" s="11"/>
      <c r="O121" s="11"/>
      <c r="P121" s="11"/>
      <c r="Q121" s="11"/>
      <c r="R121" s="11"/>
      <c r="S121" s="11" t="s">
        <v>533</v>
      </c>
      <c r="T121" s="11"/>
      <c r="U121" s="11"/>
      <c r="V121" s="11"/>
      <c r="W121" s="11" t="s">
        <v>533</v>
      </c>
      <c r="X121" s="11"/>
      <c r="Y121" s="11"/>
      <c r="Z121" s="11"/>
      <c r="AA121" s="11"/>
      <c r="AB121" s="11" t="s">
        <v>533</v>
      </c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2"/>
      <c r="AQ121" s="12"/>
      <c r="AR121" s="12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>
        <f t="shared" si="6"/>
        <v>0.5</v>
      </c>
      <c r="BF121" s="11"/>
    </row>
    <row r="122" spans="1:58" ht="129" thickTop="1" thickBot="1" x14ac:dyDescent="0.45">
      <c r="A122" s="7">
        <f t="shared" si="7"/>
        <v>119</v>
      </c>
      <c r="B122" s="8" t="s">
        <v>627</v>
      </c>
      <c r="C122" s="8" t="s">
        <v>3</v>
      </c>
      <c r="D122" s="8" t="s">
        <v>4</v>
      </c>
      <c r="E122" s="9" t="s">
        <v>11</v>
      </c>
      <c r="F122" s="8" t="s">
        <v>5</v>
      </c>
      <c r="G122" s="10" t="b">
        <v>0</v>
      </c>
      <c r="H122" s="10" t="b">
        <v>0</v>
      </c>
      <c r="I122" s="11"/>
      <c r="J122" s="11"/>
      <c r="K122" s="11" t="s">
        <v>533</v>
      </c>
      <c r="L122" s="11"/>
      <c r="M122" s="11"/>
      <c r="N122" s="11"/>
      <c r="O122" s="11"/>
      <c r="P122" s="11"/>
      <c r="Q122" s="11"/>
      <c r="R122" s="11"/>
      <c r="S122" s="11" t="s">
        <v>533</v>
      </c>
      <c r="T122" s="11" t="s">
        <v>533</v>
      </c>
      <c r="U122" s="11" t="s">
        <v>533</v>
      </c>
      <c r="V122" s="11" t="s">
        <v>533</v>
      </c>
      <c r="W122" s="11"/>
      <c r="X122" s="11"/>
      <c r="Y122" s="11"/>
      <c r="Z122" s="11" t="s">
        <v>533</v>
      </c>
      <c r="AA122" s="11" t="s">
        <v>533</v>
      </c>
      <c r="AB122" s="11"/>
      <c r="AC122" s="11"/>
      <c r="AD122" s="11" t="s">
        <v>533</v>
      </c>
      <c r="AE122" s="11" t="s">
        <v>533</v>
      </c>
      <c r="AF122" s="12"/>
      <c r="AG122" s="12"/>
      <c r="AH122" s="12"/>
      <c r="AI122" s="12"/>
      <c r="AJ122" s="13"/>
      <c r="AK122" s="13"/>
      <c r="AL122" s="11"/>
      <c r="AM122" s="11"/>
      <c r="AN122" s="11"/>
      <c r="AO122" s="11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1"/>
      <c r="BA122" s="11"/>
      <c r="BB122" s="11"/>
      <c r="BC122" s="11"/>
      <c r="BD122" s="11"/>
      <c r="BE122" s="11">
        <f t="shared" si="6"/>
        <v>0</v>
      </c>
      <c r="BF122" s="11"/>
    </row>
    <row r="123" spans="1:58" ht="81" thickTop="1" thickBot="1" x14ac:dyDescent="0.45">
      <c r="A123" s="7">
        <f t="shared" si="7"/>
        <v>120</v>
      </c>
      <c r="B123" s="7" t="s">
        <v>6</v>
      </c>
      <c r="C123" s="7" t="s">
        <v>72</v>
      </c>
      <c r="D123" s="14" t="s">
        <v>7</v>
      </c>
      <c r="E123" s="7"/>
      <c r="F123" s="8" t="s">
        <v>8</v>
      </c>
      <c r="G123" s="10" t="b">
        <v>0</v>
      </c>
      <c r="H123" s="10" t="b">
        <v>0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 t="s">
        <v>533</v>
      </c>
      <c r="T123" s="11" t="s">
        <v>533</v>
      </c>
      <c r="U123" s="11" t="s">
        <v>533</v>
      </c>
      <c r="V123" s="11"/>
      <c r="W123" s="11"/>
      <c r="X123" s="11"/>
      <c r="Y123" s="11"/>
      <c r="Z123" s="11" t="s">
        <v>533</v>
      </c>
      <c r="AA123" s="11"/>
      <c r="AB123" s="11"/>
      <c r="AC123" s="11"/>
      <c r="AD123" s="11"/>
      <c r="AE123" s="11" t="s">
        <v>533</v>
      </c>
      <c r="AF123" s="12"/>
      <c r="AG123" s="12"/>
      <c r="AH123" s="12"/>
      <c r="AI123" s="12"/>
      <c r="AJ123" s="13"/>
      <c r="AK123" s="13"/>
      <c r="AL123" s="11"/>
      <c r="AM123" s="11"/>
      <c r="AN123" s="11"/>
      <c r="AO123" s="11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1"/>
      <c r="BA123" s="11"/>
      <c r="BB123" s="11"/>
      <c r="BC123" s="11"/>
      <c r="BD123" s="11"/>
      <c r="BE123" s="11">
        <f t="shared" si="6"/>
        <v>0</v>
      </c>
      <c r="BF123" s="11"/>
    </row>
    <row r="124" spans="1:58" ht="17" thickTop="1" thickBot="1" x14ac:dyDescent="0.45">
      <c r="A124" s="7">
        <f t="shared" si="7"/>
        <v>121</v>
      </c>
      <c r="B124" s="7" t="s">
        <v>628</v>
      </c>
      <c r="C124" s="7" t="s">
        <v>57</v>
      </c>
      <c r="D124" s="7" t="s">
        <v>56</v>
      </c>
      <c r="E124" s="7" t="s">
        <v>55</v>
      </c>
      <c r="F124" s="13" t="s">
        <v>54</v>
      </c>
      <c r="G124" s="10" t="b">
        <v>0</v>
      </c>
      <c r="H124" s="10" t="b">
        <v>0</v>
      </c>
      <c r="I124" s="11" t="s">
        <v>533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1"/>
      <c r="BA124" s="11"/>
      <c r="BB124" s="11"/>
      <c r="BC124" s="11"/>
      <c r="BD124" s="11"/>
      <c r="BE124" s="11">
        <f t="shared" si="6"/>
        <v>0</v>
      </c>
      <c r="BF124" s="11"/>
    </row>
    <row r="125" spans="1:58" ht="81" thickTop="1" thickBot="1" x14ac:dyDescent="0.45">
      <c r="A125" s="7">
        <f t="shared" si="7"/>
        <v>122</v>
      </c>
      <c r="B125" s="8" t="s">
        <v>217</v>
      </c>
      <c r="C125" s="8"/>
      <c r="D125" s="8" t="s">
        <v>220</v>
      </c>
      <c r="E125" s="8" t="s">
        <v>218</v>
      </c>
      <c r="F125" s="8" t="s">
        <v>219</v>
      </c>
      <c r="G125" s="10" t="b">
        <v>0</v>
      </c>
      <c r="H125" s="10" t="b">
        <v>0</v>
      </c>
      <c r="I125" s="11"/>
      <c r="J125" s="11"/>
      <c r="K125" s="11"/>
      <c r="L125" s="11"/>
      <c r="M125" s="11" t="s">
        <v>533</v>
      </c>
      <c r="N125" s="11"/>
      <c r="O125" s="11"/>
      <c r="P125" s="11"/>
      <c r="Q125" s="11"/>
      <c r="R125" s="11"/>
      <c r="S125" s="11" t="s">
        <v>533</v>
      </c>
      <c r="T125" s="11" t="s">
        <v>533</v>
      </c>
      <c r="U125" s="11" t="s">
        <v>533</v>
      </c>
      <c r="V125" s="11"/>
      <c r="W125" s="11"/>
      <c r="X125" s="11"/>
      <c r="Y125" s="11"/>
      <c r="Z125" s="11" t="s">
        <v>533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1"/>
      <c r="BA125" s="11"/>
      <c r="BB125" s="11"/>
      <c r="BC125" s="11"/>
      <c r="BD125" s="11"/>
      <c r="BE125" s="11">
        <f t="shared" si="6"/>
        <v>0</v>
      </c>
      <c r="BF125" s="11"/>
    </row>
    <row r="126" spans="1:58" ht="81" thickTop="1" thickBot="1" x14ac:dyDescent="0.45">
      <c r="A126" s="7">
        <f t="shared" si="7"/>
        <v>123</v>
      </c>
      <c r="B126" s="8" t="s">
        <v>261</v>
      </c>
      <c r="C126" s="8" t="s">
        <v>251</v>
      </c>
      <c r="D126" s="8" t="s">
        <v>262</v>
      </c>
      <c r="E126" s="8" t="s">
        <v>263</v>
      </c>
      <c r="F126" s="8" t="s">
        <v>264</v>
      </c>
      <c r="G126" s="10" t="b">
        <v>0</v>
      </c>
      <c r="H126" s="10" t="b">
        <v>0</v>
      </c>
      <c r="I126" s="11" t="s">
        <v>533</v>
      </c>
      <c r="J126" s="11"/>
      <c r="K126" s="11" t="s">
        <v>533</v>
      </c>
      <c r="L126" s="11"/>
      <c r="M126" s="11"/>
      <c r="N126" s="11"/>
      <c r="O126" s="11" t="s">
        <v>533</v>
      </c>
      <c r="P126" s="11" t="s">
        <v>533</v>
      </c>
      <c r="Q126" s="11"/>
      <c r="R126" s="11"/>
      <c r="S126" s="11"/>
      <c r="T126" s="11"/>
      <c r="U126" s="11"/>
      <c r="V126" s="11" t="s">
        <v>533</v>
      </c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2"/>
      <c r="AQ126" s="12"/>
      <c r="AR126" s="12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>
        <f t="shared" si="6"/>
        <v>0</v>
      </c>
      <c r="BF126" s="11"/>
    </row>
    <row r="127" spans="1:58" ht="97" thickTop="1" thickBot="1" x14ac:dyDescent="0.45">
      <c r="A127" s="7">
        <f t="shared" si="7"/>
        <v>124</v>
      </c>
      <c r="B127" s="8" t="s">
        <v>286</v>
      </c>
      <c r="C127" s="8" t="s">
        <v>290</v>
      </c>
      <c r="D127" s="8" t="s">
        <v>289</v>
      </c>
      <c r="E127" s="8" t="s">
        <v>288</v>
      </c>
      <c r="F127" s="8" t="s">
        <v>287</v>
      </c>
      <c r="G127" s="10" t="b">
        <v>0</v>
      </c>
      <c r="H127" s="10" t="b">
        <v>0</v>
      </c>
      <c r="I127" s="11" t="s">
        <v>533</v>
      </c>
      <c r="J127" s="11" t="s">
        <v>533</v>
      </c>
      <c r="K127" s="11"/>
      <c r="L127" s="11"/>
      <c r="M127" s="11"/>
      <c r="N127" s="11" t="s">
        <v>533</v>
      </c>
      <c r="O127" s="11"/>
      <c r="P127" s="11"/>
      <c r="Q127" s="11"/>
      <c r="R127" s="11"/>
      <c r="S127" s="11"/>
      <c r="T127" s="11"/>
      <c r="U127" s="11"/>
      <c r="V127" s="11"/>
      <c r="W127" s="11" t="s">
        <v>533</v>
      </c>
      <c r="X127" s="11"/>
      <c r="Y127" s="11"/>
      <c r="Z127" s="11"/>
      <c r="AA127" s="11"/>
      <c r="AB127" s="11" t="s">
        <v>533</v>
      </c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2"/>
      <c r="AQ127" s="12"/>
      <c r="AR127" s="12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>
        <f t="shared" si="6"/>
        <v>0</v>
      </c>
      <c r="BF127" s="11"/>
    </row>
    <row r="128" spans="1:58" ht="193" thickTop="1" thickBot="1" x14ac:dyDescent="0.45">
      <c r="A128" s="7">
        <f t="shared" si="7"/>
        <v>125</v>
      </c>
      <c r="B128" s="8" t="s">
        <v>291</v>
      </c>
      <c r="C128" s="8" t="s">
        <v>296</v>
      </c>
      <c r="D128" s="8" t="s">
        <v>293</v>
      </c>
      <c r="E128" s="8" t="s">
        <v>292</v>
      </c>
      <c r="F128" s="8" t="s">
        <v>294</v>
      </c>
      <c r="G128" s="10" t="b">
        <v>0</v>
      </c>
      <c r="H128" s="10" t="b">
        <v>0</v>
      </c>
      <c r="I128" s="33"/>
      <c r="J128" s="11"/>
      <c r="K128" s="11" t="s">
        <v>533</v>
      </c>
      <c r="L128" s="11"/>
      <c r="M128" s="11" t="s">
        <v>533</v>
      </c>
      <c r="N128" s="11"/>
      <c r="O128" s="11"/>
      <c r="P128" s="11"/>
      <c r="Q128" s="11"/>
      <c r="R128" s="11"/>
      <c r="S128" s="11"/>
      <c r="T128" s="11" t="s">
        <v>533</v>
      </c>
      <c r="U128" s="11" t="s">
        <v>533</v>
      </c>
      <c r="V128" s="11" t="s">
        <v>533</v>
      </c>
      <c r="W128" s="11"/>
      <c r="X128" s="11"/>
      <c r="Y128" s="11" t="s">
        <v>533</v>
      </c>
      <c r="Z128" s="11" t="s">
        <v>533</v>
      </c>
      <c r="AA128" s="11"/>
      <c r="AB128" s="11"/>
      <c r="AC128" s="11"/>
      <c r="AD128" s="11" t="s">
        <v>533</v>
      </c>
      <c r="AE128" s="11" t="s">
        <v>533</v>
      </c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2"/>
      <c r="AQ128" s="12"/>
      <c r="AR128" s="12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>
        <f t="shared" si="6"/>
        <v>0</v>
      </c>
      <c r="BF128" s="26" t="s">
        <v>295</v>
      </c>
    </row>
    <row r="129" spans="1:58" ht="33" thickTop="1" thickBot="1" x14ac:dyDescent="0.45">
      <c r="A129" s="7">
        <f t="shared" si="7"/>
        <v>126</v>
      </c>
      <c r="B129" s="8" t="s">
        <v>318</v>
      </c>
      <c r="C129" s="8" t="s">
        <v>321</v>
      </c>
      <c r="D129" s="8" t="s">
        <v>320</v>
      </c>
      <c r="E129" s="8" t="s">
        <v>319</v>
      </c>
      <c r="F129" s="8" t="s">
        <v>334</v>
      </c>
      <c r="G129" s="10" t="b">
        <v>0</v>
      </c>
      <c r="H129" s="10" t="b">
        <v>0</v>
      </c>
      <c r="I129" s="11"/>
      <c r="J129" s="11"/>
      <c r="K129" s="11"/>
      <c r="L129" s="11" t="s">
        <v>533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2"/>
      <c r="AQ129" s="12"/>
      <c r="AR129" s="11" t="s">
        <v>533</v>
      </c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>
        <f t="shared" si="6"/>
        <v>0</v>
      </c>
      <c r="BF129" s="11"/>
    </row>
    <row r="130" spans="1:58" ht="65" thickTop="1" thickBot="1" x14ac:dyDescent="0.45">
      <c r="A130" s="7">
        <f t="shared" si="7"/>
        <v>127</v>
      </c>
      <c r="B130" s="8" t="s">
        <v>348</v>
      </c>
      <c r="C130" s="8" t="s">
        <v>351</v>
      </c>
      <c r="D130" s="8" t="s">
        <v>352</v>
      </c>
      <c r="E130" s="8" t="s">
        <v>349</v>
      </c>
      <c r="F130" s="8" t="s">
        <v>350</v>
      </c>
      <c r="G130" s="10" t="b">
        <v>0</v>
      </c>
      <c r="H130" s="10" t="b">
        <v>0</v>
      </c>
      <c r="I130" s="11" t="s">
        <v>533</v>
      </c>
      <c r="J130" s="11" t="s">
        <v>533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 t="s">
        <v>533</v>
      </c>
      <c r="W130" s="11"/>
      <c r="X130" s="11"/>
      <c r="Y130" s="11"/>
      <c r="Z130" s="11"/>
      <c r="AA130" s="11" t="s">
        <v>533</v>
      </c>
      <c r="AB130" s="11"/>
      <c r="AC130" s="11"/>
      <c r="AD130" s="11" t="s">
        <v>533</v>
      </c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2"/>
      <c r="AQ130" s="12"/>
      <c r="AR130" s="12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>
        <f t="shared" si="6"/>
        <v>0</v>
      </c>
      <c r="BF130" s="11"/>
    </row>
    <row r="131" spans="1:58" ht="65" thickTop="1" thickBot="1" x14ac:dyDescent="0.45">
      <c r="A131" s="7">
        <f t="shared" si="7"/>
        <v>128</v>
      </c>
      <c r="B131" s="8" t="s">
        <v>425</v>
      </c>
      <c r="C131" s="8" t="s">
        <v>429</v>
      </c>
      <c r="D131" s="16" t="s">
        <v>427</v>
      </c>
      <c r="E131" s="8" t="s">
        <v>426</v>
      </c>
      <c r="F131" s="8" t="s">
        <v>428</v>
      </c>
      <c r="G131" s="10" t="b">
        <v>0</v>
      </c>
      <c r="H131" s="10" t="b">
        <v>0</v>
      </c>
      <c r="I131" s="11" t="s">
        <v>533</v>
      </c>
      <c r="J131" s="11" t="s">
        <v>533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2"/>
      <c r="AQ131" s="12"/>
      <c r="AR131" s="12"/>
      <c r="AS131" s="11"/>
      <c r="AT131" s="11" t="s">
        <v>533</v>
      </c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>
        <f t="shared" si="6"/>
        <v>0</v>
      </c>
      <c r="BF131" s="11"/>
    </row>
    <row r="132" spans="1:58" ht="65" thickTop="1" thickBot="1" x14ac:dyDescent="0.45">
      <c r="A132" s="7">
        <f t="shared" si="7"/>
        <v>129</v>
      </c>
      <c r="B132" s="8" t="s">
        <v>435</v>
      </c>
      <c r="C132" s="8" t="s">
        <v>202</v>
      </c>
      <c r="D132" s="16" t="s">
        <v>436</v>
      </c>
      <c r="E132" s="8" t="s">
        <v>437</v>
      </c>
      <c r="F132" s="8" t="s">
        <v>438</v>
      </c>
      <c r="G132" s="10" t="b">
        <v>0</v>
      </c>
      <c r="H132" s="10" t="b">
        <v>0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 t="s">
        <v>533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 t="s">
        <v>533</v>
      </c>
      <c r="AO132" s="11"/>
      <c r="AP132" s="12"/>
      <c r="AQ132" s="12"/>
      <c r="AR132" s="12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 t="s">
        <v>533</v>
      </c>
      <c r="BE132" s="11">
        <f t="shared" si="6"/>
        <v>0</v>
      </c>
      <c r="BF132" s="11"/>
    </row>
    <row r="133" spans="1:58" ht="65" thickTop="1" thickBot="1" x14ac:dyDescent="0.45">
      <c r="A133" s="7">
        <f t="shared" si="7"/>
        <v>130</v>
      </c>
      <c r="B133" s="8" t="s">
        <v>449</v>
      </c>
      <c r="C133" s="8" t="s">
        <v>251</v>
      </c>
      <c r="D133" s="16" t="s">
        <v>451</v>
      </c>
      <c r="E133" s="8" t="s">
        <v>448</v>
      </c>
      <c r="F133" s="8" t="s">
        <v>450</v>
      </c>
      <c r="G133" s="10" t="b">
        <v>0</v>
      </c>
      <c r="H133" s="10" t="b">
        <v>0</v>
      </c>
      <c r="I133" s="11"/>
      <c r="J133" s="11" t="s">
        <v>533</v>
      </c>
      <c r="K133" s="11"/>
      <c r="L133" s="11"/>
      <c r="M133" s="11"/>
      <c r="N133" s="11"/>
      <c r="O133" s="11" t="s">
        <v>533</v>
      </c>
      <c r="P133" s="11"/>
      <c r="Q133" s="11"/>
      <c r="R133" s="11"/>
      <c r="S133" s="11" t="s">
        <v>533</v>
      </c>
      <c r="T133" s="11" t="s">
        <v>533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2"/>
      <c r="AQ133" s="12"/>
      <c r="AR133" s="12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>
        <f t="shared" si="6"/>
        <v>0</v>
      </c>
      <c r="BF133" s="11"/>
    </row>
    <row r="134" spans="1:58" ht="15" thickTop="1" x14ac:dyDescent="0.35">
      <c r="AF134" s="2"/>
      <c r="AG134" s="2"/>
      <c r="AH134" s="2"/>
    </row>
    <row r="135" spans="1:58" x14ac:dyDescent="0.35">
      <c r="AF135" s="2"/>
      <c r="AG135" s="2"/>
      <c r="AH135" s="2"/>
    </row>
  </sheetData>
  <sortState xmlns:xlrd2="http://schemas.microsoft.com/office/spreadsheetml/2017/richdata2" ref="A4:BF133">
    <sortCondition descending="1" ref="BE4:BE133"/>
  </sortState>
  <phoneticPr fontId="2" type="noConversion"/>
  <hyperlinks>
    <hyperlink ref="D123" r:id="rId1" display="mailto:tnedohe@uj.ac.za" xr:uid="{E2239EFC-78FC-4B99-B561-59FDEBC5E9F6}"/>
    <hyperlink ref="D4" r:id="rId2" display="mailto:madikidapakama@gmail.com" xr:uid="{EFDE53B9-406F-4C48-A16F-B34B28081FEF}"/>
    <hyperlink ref="D5" r:id="rId3" display="mailto:sfobosi@ufh.ac.za" xr:uid="{111BC6C3-4317-4607-A2EF-95C7F27D610F}"/>
    <hyperlink ref="D6" r:id="rId4" xr:uid="{E6B65BAF-2529-4C35-A4A5-77DA85131B9C}"/>
    <hyperlink ref="D8" r:id="rId5" display="mailto:herbst.frikkie@nwu.ac.za" xr:uid="{125FF30E-53EC-453C-8242-F9D21912AAA0}"/>
    <hyperlink ref="D9" r:id="rId6" xr:uid="{12DF025D-D8E0-4ADA-95F2-58948F77EF58}"/>
    <hyperlink ref="D11" r:id="rId7" display="mailto:stephen.moyo@yahoo.com" xr:uid="{EAC65D4B-53A9-437F-A937-56241013668F}"/>
    <hyperlink ref="D105" r:id="rId8" display="mailto:djakwe@outlook.com" xr:uid="{50D5B7D0-6186-4120-935E-9FC51BEC21BA}"/>
    <hyperlink ref="D13" r:id="rId9" display="mailto:osumagodswill@gmail.com" xr:uid="{DEBD59AE-D614-4B9D-BEEA-F7BA68C35B38}"/>
    <hyperlink ref="D15" r:id="rId10" display="mailto:lwazim@uj.ac.za" xr:uid="{D260449C-CFDD-4F21-971B-A7CC17970DFC}"/>
    <hyperlink ref="D20" r:id="rId11" xr:uid="{16D77A6B-7A33-4F8D-A8C9-27DDB7E2B754}"/>
    <hyperlink ref="D26" r:id="rId12" display="mailto:michaelr@uj.ac.za" xr:uid="{76C35D83-F02F-4118-B7DE-3A2501DBC05D}"/>
    <hyperlink ref="D29" r:id="rId13" display="mailto:oluwaseun.martins@fuoye.edu.ng" xr:uid="{71DAE3AD-6AC2-40F6-8F8A-DE2178D7D70E}"/>
    <hyperlink ref="D31" r:id="rId14" display="mailto:Ramapulanaman@gmail.com" xr:uid="{CD613139-9E0F-44A8-BCC6-86F798C47F72}"/>
    <hyperlink ref="D32" r:id="rId15" display="mailto:m.maluleka26@gmail.com" xr:uid="{989C1C53-B675-49DD-BBB0-E080BA5F8FDC}"/>
    <hyperlink ref="D38" r:id="rId16" display="mailto:MavhunguML@tut.ac.za" xr:uid="{55083FF2-E1F6-4B5C-B782-DCF519083229}"/>
    <hyperlink ref="D40" r:id="rId17" xr:uid="{85451040-7654-45D0-824F-4EEB73564D03}"/>
    <hyperlink ref="D42" r:id="rId18" xr:uid="{E0762AD0-FA5C-4C7E-B297-CBEAF99651D6}"/>
    <hyperlink ref="D45" r:id="rId19" display="mailto:peterchihwai6@gmail.com" xr:uid="{AB136DF6-D970-475D-8CE2-BFF37D759DC5}"/>
    <hyperlink ref="D125" r:id="rId20" display="mailto:kuko.fn@gmail.com" xr:uid="{B176B990-D69D-477B-BA52-455077633630}"/>
    <hyperlink ref="D50" r:id="rId21" xr:uid="{195D4E3D-9345-41BE-8173-C5704BE7ECC5}"/>
    <hyperlink ref="D51" r:id="rId22" xr:uid="{3726D52F-7F42-4DDD-A2D6-DC391240935C}"/>
    <hyperlink ref="D52" r:id="rId23" xr:uid="{535088D6-96FF-4103-A17B-7FA1BC9C84D3}"/>
    <hyperlink ref="D53" r:id="rId24" display="mailto:loveopeyemid@uj.ac.za" xr:uid="{E85CABC1-A40B-4358-9B9A-E0754C98168E}"/>
    <hyperlink ref="D126" r:id="rId25" display="mailto:mmbhalati@uj.ac.za" xr:uid="{C90B9AA6-0E37-4697-92DB-02DE822A2C67}"/>
    <hyperlink ref="D55" r:id="rId26" display="mailto:mrwebv@unisa.ac.za" xr:uid="{4B39AC90-32B5-4503-96C6-ADB11118EEA6}"/>
    <hyperlink ref="D56" r:id="rId27" display="mailto:jacques.totowa@wits.ac.za" xr:uid="{7ADF263F-0130-4B19-99E5-543E2A90DFD8}"/>
    <hyperlink ref="D110" r:id="rId28" display="mailto:juniormokou0@gmail.com" xr:uid="{4E45BC3A-0C81-4313-9B08-D84F9E49AE87}"/>
    <hyperlink ref="D57" r:id="rId29" display="mailto:nsukdeo@uj.ac.za" xr:uid="{4E6CDEF7-53E1-47D1-895D-322274DC1673}"/>
    <hyperlink ref="D58" r:id="rId30" display="mailto:curwyn.mapaling@nwu.ac.za" xr:uid="{946F7904-FC8C-45E7-A575-C2E39CBA0272}"/>
    <hyperlink ref="D59" r:id="rId31" display="mailto:echirosj@unisa.ac.za" xr:uid="{A6163118-C946-4317-8883-983592745C20}"/>
    <hyperlink ref="D62" r:id="rId32" tooltip="mailto:rpiderit@ufh.ac.za" display="mailto:rpiderit@ufh.ac.za" xr:uid="{37928994-2C57-4BA3-A7D1-46F96CE3908F}"/>
    <hyperlink ref="D63" r:id="rId33" display="mailto:Nonkululeko.Khumalo@mandela.ac.za" xr:uid="{E2E552B8-6EF1-4044-8CEA-2664C4961C0E}"/>
    <hyperlink ref="D115" r:id="rId34" display="mailto:abioduntimileyin19@gmail.com" xr:uid="{93836134-86E4-4C72-8B45-493FFC72E111}"/>
    <hyperlink ref="D66" r:id="rId35" display="mailto:Maphelo.Malgas@spu.ac.za" xr:uid="{EE57EB08-CD9A-4E9A-9A95-D17F6EC76664}"/>
    <hyperlink ref="D67" r:id="rId36" display="mailto:diff.nyalungu@gmail.com" xr:uid="{7D9746ED-FC0D-4353-A7DA-3F5634FFC7EC}"/>
    <hyperlink ref="D68" r:id="rId37" display="mailto:vusumzi.msuthwana@mandela.ac.za" xr:uid="{AF1FDB0A-E13B-416C-AB8A-807319125F45}"/>
    <hyperlink ref="D70" r:id="rId38" display="mailto:medohch@unisa.ac.za" xr:uid="{8FB4AA2D-B5C0-4157-A8ED-08233A8F5B37}"/>
    <hyperlink ref="D72" r:id="rId39" display="mailto:csmith@uj.ac.za" xr:uid="{F9EB1EC1-D974-4D50-9D35-9BF2858C8709}"/>
    <hyperlink ref="D74" r:id="rId40" display="mailto:mambalizana@gmail.com" xr:uid="{03AF4821-E46B-417D-A321-B6443C54696B}"/>
    <hyperlink ref="D75" r:id="rId41" display="mailto:Ntseliseng.khumalo@nwu.ac.za" xr:uid="{0344DD3E-E041-46F0-9A5C-744997160244}"/>
    <hyperlink ref="D76" r:id="rId42" xr:uid="{3DE2786D-A601-43C6-B098-2DE357E01ACA}"/>
    <hyperlink ref="D117" r:id="rId43" xr:uid="{D2420FA7-2363-4B21-81E3-46FD9DF33D19}"/>
    <hyperlink ref="D77" r:id="rId44" display="mailto:vanans@unisa.ac.za" xr:uid="{DAEBE7E5-A2E2-424B-B209-4D17540D0190}"/>
    <hyperlink ref="D78" r:id="rId45" display="mailto:dirksr@unisa.ac.za" xr:uid="{80098BC5-58CA-44BF-8B99-7BF99B877475}"/>
    <hyperlink ref="D81" r:id="rId46" display="mailto:Storm.Watson@mandela.ac.za" xr:uid="{6537AB8E-660C-42E0-854D-24CB5CB4470C}"/>
    <hyperlink ref="D82" r:id="rId47" xr:uid="{43F69ACC-DF66-4067-B316-3AA517CEAE51}"/>
    <hyperlink ref="D84" r:id="rId48" display="mailto:Mtimba.sa@gmail.com" xr:uid="{5858F85E-C0D1-403D-B453-FC938F79ECBE}"/>
    <hyperlink ref="D118" r:id="rId49" display="mailto:azizz@unisa.ac.za" xr:uid="{233FB116-DF4F-4058-A128-8E28AA4A55D5}"/>
    <hyperlink ref="D86" r:id="rId50" xr:uid="{0695CF86-70F0-40A4-A0CD-274B10BFA328}"/>
    <hyperlink ref="D88" r:id="rId51" xr:uid="{5785DDBF-F298-464A-A8CE-C4A9D3BEB9B2}"/>
    <hyperlink ref="D89" r:id="rId52" display="mailto:mphidim@uj.ac.za" xr:uid="{BF669A0D-3046-4E75-91EA-0E0BA1A2F29B}"/>
    <hyperlink ref="D90" r:id="rId53" xr:uid="{1D05B242-B821-4BBF-92D9-49BE33A79E94}"/>
    <hyperlink ref="D92" r:id="rId54" display="mailto:Jamesseretlo@gmail.com" xr:uid="{C406EA39-B415-4F2D-8B1A-FD8FA4DCF2B2}"/>
    <hyperlink ref="D93" r:id="rId55" display="mailto:xolani.msila@sasol.com" xr:uid="{D0A4FCE8-4BDD-4B35-BFDA-4D782C19BE8D}"/>
    <hyperlink ref="D95" r:id="rId56" display="mailto:rammumw@unisa.ac.za" xr:uid="{251687C4-3950-454B-9FB2-45FE9D68EFBC}"/>
    <hyperlink ref="D96" r:id="rId57" display="mailto:sinakhompanza@gmail.com" xr:uid="{F1F9EF25-2E59-4633-AB6D-058DF250DBE0}"/>
    <hyperlink ref="D97" r:id="rId58" display="mailto:sharonmakaleng@gmail.com" xr:uid="{3A41375A-8465-4681-A2A8-BCE8D721D740}"/>
    <hyperlink ref="D98" r:id="rId59" display="mailto:smahlase100@gmail.com" xr:uid="{B6683515-3E50-4348-AE0A-5283D80E85DE}"/>
    <hyperlink ref="D120" r:id="rId60" tooltip="mailto:ntoyan@unisa.ac.za" display="mailto:ntoyan@unisa.ac.za" xr:uid="{E6BFF103-39A6-4356-AD92-4FDC1B937092}"/>
    <hyperlink ref="D100" r:id="rId61" display="mailto:tnemarumane@uj.ac.za" xr:uid="{3FF4605D-D96B-48FA-A55A-8177B2F7FCF9}"/>
    <hyperlink ref="D101" r:id="rId62" display="mailto:khosarm@unisa.ac.za" xr:uid="{339322F5-D6E1-43D0-9044-0112DE437EC4}"/>
    <hyperlink ref="D121" r:id="rId63" display="mailto:phatudi.setati@gmail.com" xr:uid="{885CA5A6-FC53-4E24-87D9-344126C0E47C}"/>
  </hyperlinks>
  <pageMargins left="0.7" right="0.7" top="0.75" bottom="0.75" header="0.3" footer="0.3"/>
  <pageSetup paperSize="9" orientation="portrait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Letshaba, Ralebitso</dc:creator>
  <cp:lastModifiedBy>Letshaba, Ralebitso</cp:lastModifiedBy>
  <dcterms:created xsi:type="dcterms:W3CDTF">2025-06-23T18:34:53Z</dcterms:created>
  <dcterms:modified xsi:type="dcterms:W3CDTF">2025-08-05T10:57:32Z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ensitivity">
    <vt:lpwstr>Sensitive</vt:lpwstr>
  </property>
  <property fmtid="{D5CDD505-2E9C-101B-9397-08002B2CF9AE}" pid="3" name="MSIP_Label_1a7e50c7-0604-4214-9a46-fc1b03d72167_Extended_MSFT_Method">
    <vt:lpwstr>Standard</vt:lpwstr>
  </property>
  <property fmtid="{D5CDD505-2E9C-101B-9397-08002B2CF9AE}" pid="4" name="MSIP_Label_1a7e50c7-0604-4214-9a46-fc1b03d72167_Removed">
    <vt:lpwstr>False</vt:lpwstr>
  </property>
  <property fmtid="{D5CDD505-2E9C-101B-9397-08002B2CF9AE}" pid="5" name="MSIP_Label_1a7e50c7-0604-4214-9a46-fc1b03d72167_ActionId">
    <vt:lpwstr>61a93a44-13f2-46dd-9763-ed2d97e0e1f3</vt:lpwstr>
  </property>
  <property fmtid="{D5CDD505-2E9C-101B-9397-08002B2CF9AE}" pid="6" name="MSIP_Label_1a7e50c7-0604-4214-9a46-fc1b03d72167_Name">
    <vt:lpwstr>Sensitive</vt:lpwstr>
  </property>
  <property fmtid="{D5CDD505-2E9C-101B-9397-08002B2CF9AE}" pid="7" name="MSIP_Label_1a7e50c7-0604-4214-9a46-fc1b03d72167_SetDate">
    <vt:lpwstr>2025-08-05T11:29:38Z</vt:lpwstr>
  </property>
  <property fmtid="{D5CDD505-2E9C-101B-9397-08002B2CF9AE}" pid="8" name="MSIP_Label_1a7e50c7-0604-4214-9a46-fc1b03d72167_SiteId">
    <vt:lpwstr>7fa08a96-55be-4b5f-aba1-8a64c58d00e2</vt:lpwstr>
  </property>
  <property fmtid="{D5CDD505-2E9C-101B-9397-08002B2CF9AE}" pid="9" name="MSIP_Label_1a7e50c7-0604-4214-9a46-fc1b03d72167_Enabled">
    <vt:lpwstr>True</vt:lpwstr>
  </property>
</Properties>
</file>